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B7FE6334-C1A2-E50D-BD3D-5F4D41BBC2E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kfrasch\Desktop\"/>
    </mc:Choice>
  </mc:AlternateContent>
  <xr:revisionPtr revIDLastSave="0" documentId="8_{758707F4-9512-41FD-B3AF-8DDEAC1FE4A2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arvest Data" sheetId="1" r:id="rId1"/>
    <sheet name="Pivot Table" sheetId="4" r:id="rId2"/>
    <sheet name="LookupLists" sheetId="5" r:id="rId3"/>
  </sheets>
  <definedNames>
    <definedName name="_xlnm._FilterDatabase" localSheetId="2" hidden="1">LookupLists!$G:$P</definedName>
    <definedName name="CritBlock">LookupLists!$V$1:$V$2</definedName>
    <definedName name="_xlnm.Criteria" localSheetId="2">LookupLists!$U$1:$W$2</definedName>
    <definedName name="CritField">LookupLists!$U$1:$U$2</definedName>
    <definedName name="CritLocation">LookupLists!$U$1:$W$2</definedName>
    <definedName name="CritVariety">LookupLists!$W$1:$W$2</definedName>
    <definedName name="CritVineyard">LookupLists!$S$1:$S$2</definedName>
    <definedName name="ExtAcres">LookupLists!$AH$1:$AH$2</definedName>
    <definedName name="ExtClone">LookupLists!$AE$1:$AE$2</definedName>
    <definedName name="ExtPlanted">LookupLists!$AF$1:$AF$2</definedName>
    <definedName name="_xlnm.Extract">LookupLists!$AA$1:$AJ$1</definedName>
    <definedName name="ExtSpacing">LookupLists!$AG$1:$AG$2</definedName>
    <definedName name="ExtVines">LookupLists!$AI$1:$AI$2</definedName>
    <definedName name="ExtVinesAcre">LookupLists!$AJ$1:$AJ$2</definedName>
    <definedName name="VarietyList">OFFSET(LookupLists!$D$2,0,0,COUNTA(LookupLists!$D:$D)-1,1)</definedName>
    <definedName name="VarietyLookup" localSheetId="2">OFFSET(VineyardList,0,0,1)</definedName>
    <definedName name="VarietySelCatList">OFFSET(LookupLists!$AB$1,1,0,COUNTA(LookupLists!$AB:$AB)-1,3)</definedName>
    <definedName name="VarietySelList">LookupLists!$AB$2:$AD$112</definedName>
    <definedName name="VineyardList">OFFSET(LookupLists!$B$2,0,0,COUNTA(LookupLists!$B:$B)-1,1)</definedName>
  </definedNames>
  <calcPr calcId="18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024" i="1" l="1"/>
  <c r="N1024" i="1"/>
  <c r="O1023" i="1"/>
  <c r="N1023" i="1"/>
  <c r="O1022" i="1"/>
  <c r="N1022" i="1"/>
  <c r="O1021" i="1"/>
  <c r="N1021" i="1"/>
  <c r="O1020" i="1"/>
  <c r="N1020" i="1"/>
  <c r="O1019" i="1"/>
  <c r="N1019" i="1"/>
  <c r="O1018" i="1"/>
  <c r="N1018" i="1"/>
  <c r="O1017" i="1"/>
  <c r="N1017" i="1"/>
  <c r="O1016" i="1"/>
  <c r="N1016" i="1"/>
  <c r="O1015" i="1"/>
  <c r="N1015" i="1"/>
  <c r="O1014" i="1"/>
  <c r="N1014" i="1"/>
  <c r="O1013" i="1"/>
  <c r="N1013" i="1"/>
  <c r="O1012" i="1"/>
  <c r="N1012" i="1"/>
  <c r="O1011" i="1"/>
  <c r="N1011" i="1"/>
  <c r="O1010" i="1"/>
  <c r="N1010" i="1"/>
  <c r="O1009" i="1"/>
  <c r="N1009" i="1"/>
  <c r="O1008" i="1"/>
  <c r="N1008" i="1"/>
  <c r="O1007" i="1"/>
  <c r="N1007" i="1"/>
  <c r="O1006" i="1"/>
  <c r="N1006" i="1"/>
  <c r="O1005" i="1"/>
  <c r="N1005" i="1"/>
  <c r="O1004" i="1"/>
  <c r="N1004" i="1"/>
  <c r="O1003" i="1"/>
  <c r="N1003" i="1"/>
  <c r="O1002" i="1"/>
  <c r="N1002" i="1"/>
  <c r="O1001" i="1"/>
  <c r="N1001" i="1"/>
  <c r="O1000" i="1"/>
  <c r="N1000" i="1"/>
  <c r="O999" i="1"/>
  <c r="N999" i="1"/>
  <c r="O998" i="1"/>
  <c r="N998" i="1"/>
  <c r="O997" i="1"/>
  <c r="N997" i="1"/>
  <c r="O996" i="1"/>
  <c r="N996" i="1"/>
  <c r="O995" i="1"/>
  <c r="N995" i="1"/>
  <c r="O994" i="1"/>
  <c r="N994" i="1"/>
  <c r="O993" i="1"/>
  <c r="N993" i="1"/>
  <c r="N992" i="1"/>
  <c r="N991" i="1"/>
  <c r="N990" i="1"/>
  <c r="N989" i="1"/>
  <c r="N988" i="1"/>
  <c r="N987" i="1"/>
  <c r="N986" i="1"/>
  <c r="N985" i="1"/>
  <c r="O984" i="1"/>
  <c r="N984" i="1"/>
  <c r="O983" i="1"/>
  <c r="N983" i="1"/>
  <c r="O981" i="1"/>
  <c r="N981" i="1"/>
  <c r="O980" i="1"/>
  <c r="N980" i="1"/>
  <c r="O979" i="1"/>
  <c r="N979" i="1"/>
  <c r="O978" i="1"/>
  <c r="N978" i="1"/>
  <c r="O977" i="1"/>
  <c r="N977" i="1"/>
  <c r="O976" i="1"/>
  <c r="N976" i="1"/>
  <c r="O975" i="1"/>
  <c r="N975" i="1"/>
  <c r="O974" i="1"/>
  <c r="N974" i="1"/>
  <c r="O973" i="1"/>
  <c r="N973" i="1"/>
  <c r="O972" i="1"/>
  <c r="N972" i="1"/>
  <c r="N971" i="1"/>
  <c r="N970" i="1"/>
  <c r="O969" i="1"/>
  <c r="N969" i="1"/>
  <c r="O968" i="1"/>
  <c r="N968" i="1"/>
  <c r="O967" i="1"/>
  <c r="N967" i="1"/>
  <c r="O966" i="1"/>
  <c r="N966" i="1"/>
  <c r="N965" i="1"/>
  <c r="N964" i="1"/>
  <c r="N963" i="1"/>
  <c r="O962" i="1"/>
  <c r="N962" i="1"/>
  <c r="O961" i="1"/>
  <c r="N961" i="1"/>
  <c r="O960" i="1"/>
  <c r="N960" i="1"/>
  <c r="O959" i="1"/>
  <c r="N959" i="1"/>
  <c r="O958" i="1"/>
  <c r="N958" i="1"/>
  <c r="O957" i="1"/>
  <c r="N957" i="1"/>
  <c r="O956" i="1"/>
  <c r="N956" i="1"/>
  <c r="O955" i="1"/>
  <c r="N955" i="1"/>
  <c r="O954" i="1"/>
  <c r="N954" i="1"/>
  <c r="O953" i="1"/>
  <c r="N953" i="1"/>
  <c r="O952" i="1"/>
  <c r="N952" i="1"/>
  <c r="O951" i="1"/>
  <c r="N951" i="1"/>
  <c r="O950" i="1"/>
  <c r="N950" i="1"/>
  <c r="O949" i="1"/>
  <c r="N949" i="1"/>
  <c r="O948" i="1"/>
  <c r="N948" i="1"/>
  <c r="O947" i="1"/>
  <c r="N947" i="1"/>
  <c r="O945" i="1"/>
  <c r="N945" i="1"/>
  <c r="O944" i="1"/>
  <c r="N944" i="1"/>
  <c r="O943" i="1"/>
  <c r="N943" i="1"/>
  <c r="O942" i="1"/>
  <c r="N942" i="1"/>
  <c r="O941" i="1"/>
  <c r="N941" i="1"/>
  <c r="O940" i="1"/>
  <c r="N940" i="1"/>
  <c r="N939" i="1"/>
  <c r="O939" i="1"/>
  <c r="N887" i="1"/>
  <c r="O855" i="1"/>
  <c r="O856" i="1"/>
  <c r="O858" i="1"/>
  <c r="O859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80" i="1"/>
  <c r="O881" i="1"/>
  <c r="O882" i="1"/>
  <c r="O884" i="1"/>
  <c r="O887" i="1"/>
  <c r="O888" i="1"/>
  <c r="O889" i="1"/>
  <c r="O890" i="1"/>
  <c r="O891" i="1"/>
  <c r="O892" i="1"/>
  <c r="O893" i="1"/>
  <c r="O894" i="1"/>
  <c r="O895" i="1"/>
  <c r="O896" i="1"/>
  <c r="O898" i="1"/>
  <c r="O899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853" i="1"/>
  <c r="O854" i="1"/>
  <c r="N854" i="1"/>
  <c r="N855" i="1"/>
  <c r="N856" i="1"/>
  <c r="N857" i="1"/>
  <c r="N858" i="1"/>
  <c r="N859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8" i="1"/>
  <c r="N889" i="1"/>
  <c r="N890" i="1"/>
  <c r="N891" i="1"/>
  <c r="N892" i="1"/>
  <c r="N893" i="1"/>
  <c r="N894" i="1"/>
  <c r="N895" i="1"/>
  <c r="N896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853" i="1"/>
  <c r="P89" i="5"/>
  <c r="P88" i="5"/>
  <c r="P81" i="5"/>
  <c r="P74" i="5"/>
  <c r="P71" i="5"/>
  <c r="P70" i="5"/>
  <c r="P69" i="5"/>
  <c r="P68" i="5"/>
  <c r="P67" i="5"/>
  <c r="P65" i="5"/>
  <c r="P48" i="5"/>
  <c r="P47" i="5"/>
  <c r="P62" i="5"/>
  <c r="P61" i="5"/>
  <c r="P60" i="5"/>
  <c r="P55" i="5"/>
  <c r="P45" i="5"/>
  <c r="P75" i="5"/>
  <c r="P64" i="5"/>
  <c r="P72" i="5"/>
  <c r="P66" i="5"/>
  <c r="P90" i="5"/>
  <c r="P76" i="5"/>
  <c r="P44" i="5"/>
  <c r="P43" i="5"/>
  <c r="P42" i="5"/>
  <c r="O35" i="5"/>
  <c r="N35" i="5"/>
  <c r="O36" i="5"/>
  <c r="N36" i="5"/>
  <c r="O365" i="1"/>
  <c r="N365" i="1"/>
  <c r="J309" i="1"/>
  <c r="J310" i="1"/>
  <c r="J308" i="1"/>
  <c r="I309" i="1"/>
  <c r="I310" i="1"/>
  <c r="I308" i="1"/>
  <c r="M308" i="1"/>
  <c r="J790" i="1"/>
  <c r="O790" i="1" s="1"/>
  <c r="J791" i="1"/>
  <c r="J789" i="1"/>
  <c r="I790" i="1"/>
  <c r="N790" i="1" s="1"/>
  <c r="I791" i="1"/>
  <c r="I789" i="1"/>
  <c r="O482" i="1"/>
  <c r="O483" i="1"/>
  <c r="N482" i="1"/>
  <c r="N483" i="1"/>
  <c r="N311" i="1"/>
  <c r="O311" i="1"/>
  <c r="N313" i="1"/>
  <c r="O313" i="1"/>
  <c r="N314" i="1"/>
  <c r="O314" i="1"/>
  <c r="N315" i="1"/>
  <c r="O315" i="1"/>
  <c r="K744" i="1"/>
  <c r="K755" i="1"/>
  <c r="K754" i="1"/>
  <c r="K743" i="1"/>
  <c r="P36" i="5" l="1"/>
  <c r="P35" i="5"/>
  <c r="K474" i="1"/>
  <c r="K478" i="1"/>
  <c r="O199" i="1"/>
  <c r="N199" i="1"/>
  <c r="S335" i="1"/>
  <c r="R335" i="1"/>
  <c r="Q335" i="1"/>
  <c r="M335" i="1"/>
  <c r="S481" i="1"/>
  <c r="R481" i="1"/>
  <c r="Q481" i="1"/>
  <c r="M481" i="1"/>
  <c r="S310" i="1"/>
  <c r="R310" i="1"/>
  <c r="Q310" i="1"/>
  <c r="M310" i="1"/>
  <c r="K310" i="1"/>
  <c r="O309" i="1"/>
  <c r="N309" i="1"/>
  <c r="K309" i="1"/>
  <c r="O308" i="1"/>
  <c r="N308" i="1"/>
  <c r="K308" i="1"/>
  <c r="S791" i="1"/>
  <c r="R791" i="1"/>
  <c r="Q791" i="1"/>
  <c r="M791" i="1"/>
  <c r="K791" i="1"/>
  <c r="K790" i="1"/>
  <c r="O789" i="1"/>
  <c r="N789" i="1"/>
  <c r="K789" i="1"/>
  <c r="S292" i="1"/>
  <c r="R292" i="1"/>
  <c r="Q292" i="1"/>
  <c r="N292" i="1"/>
  <c r="N291" i="1"/>
  <c r="N290" i="1"/>
  <c r="N289" i="1"/>
  <c r="N288" i="1"/>
  <c r="N287" i="1"/>
  <c r="N286" i="1"/>
  <c r="N285" i="1"/>
  <c r="N284" i="1"/>
  <c r="N283" i="1"/>
  <c r="N280" i="1"/>
  <c r="N279" i="1"/>
  <c r="N278" i="1"/>
  <c r="N277" i="1"/>
  <c r="N276" i="1"/>
  <c r="S511" i="1"/>
  <c r="R511" i="1"/>
  <c r="Q511" i="1"/>
  <c r="M511" i="1"/>
  <c r="N511" i="1" s="1"/>
  <c r="N510" i="1"/>
  <c r="N509" i="1"/>
  <c r="N508" i="1"/>
  <c r="N507" i="1"/>
  <c r="N528" i="1"/>
  <c r="N527" i="1"/>
  <c r="N526" i="1"/>
  <c r="N525" i="1"/>
  <c r="N524" i="1"/>
  <c r="S523" i="1"/>
  <c r="R523" i="1"/>
  <c r="Q523" i="1"/>
  <c r="N523" i="1"/>
  <c r="N522" i="1"/>
  <c r="N521" i="1"/>
  <c r="N520" i="1"/>
  <c r="N519" i="1"/>
  <c r="N518" i="1"/>
  <c r="N517" i="1"/>
  <c r="S539" i="1"/>
  <c r="R539" i="1"/>
  <c r="Q539" i="1"/>
  <c r="M539" i="1"/>
  <c r="N538" i="1"/>
  <c r="N537" i="1"/>
  <c r="N536" i="1"/>
  <c r="N535" i="1"/>
  <c r="N534" i="1"/>
  <c r="N533" i="1"/>
  <c r="S261" i="1"/>
  <c r="R261" i="1"/>
  <c r="Q261" i="1"/>
  <c r="M261" i="1"/>
  <c r="N260" i="1"/>
  <c r="N259" i="1"/>
  <c r="N258" i="1"/>
  <c r="N257" i="1"/>
  <c r="N256" i="1"/>
  <c r="N255" i="1"/>
  <c r="N254" i="1"/>
  <c r="N253" i="1"/>
  <c r="N252" i="1"/>
  <c r="N248" i="1"/>
  <c r="N247" i="1"/>
  <c r="N275" i="1"/>
  <c r="S297" i="1"/>
  <c r="R297" i="1"/>
  <c r="Q297" i="1"/>
  <c r="O297" i="1"/>
  <c r="N297" i="1"/>
  <c r="O296" i="1"/>
  <c r="N296" i="1"/>
  <c r="O295" i="1"/>
  <c r="N295" i="1"/>
  <c r="O294" i="1"/>
  <c r="N294" i="1"/>
  <c r="O293" i="1"/>
  <c r="N293" i="1"/>
  <c r="O788" i="1"/>
  <c r="N788" i="1"/>
  <c r="O782" i="1"/>
  <c r="N782" i="1"/>
  <c r="O776" i="1"/>
  <c r="N776" i="1"/>
  <c r="O770" i="1"/>
  <c r="N770" i="1"/>
  <c r="K770" i="1"/>
  <c r="O764" i="1"/>
  <c r="N764" i="1"/>
  <c r="K764" i="1"/>
  <c r="O787" i="1"/>
  <c r="N787" i="1"/>
  <c r="O781" i="1"/>
  <c r="N781" i="1"/>
  <c r="O775" i="1"/>
  <c r="N775" i="1"/>
  <c r="O769" i="1"/>
  <c r="N769" i="1"/>
  <c r="O763" i="1"/>
  <c r="N763" i="1"/>
  <c r="O786" i="1"/>
  <c r="N786" i="1"/>
  <c r="O780" i="1"/>
  <c r="N780" i="1"/>
  <c r="O774" i="1"/>
  <c r="N774" i="1"/>
  <c r="O768" i="1"/>
  <c r="N768" i="1"/>
  <c r="O762" i="1"/>
  <c r="N762" i="1"/>
  <c r="O758" i="1"/>
  <c r="N758" i="1"/>
  <c r="O785" i="1"/>
  <c r="N785" i="1"/>
  <c r="O779" i="1"/>
  <c r="N779" i="1"/>
  <c r="O773" i="1"/>
  <c r="N773" i="1"/>
  <c r="O767" i="1"/>
  <c r="N767" i="1"/>
  <c r="O761" i="1"/>
  <c r="N761" i="1"/>
  <c r="O784" i="1"/>
  <c r="N784" i="1"/>
  <c r="O778" i="1"/>
  <c r="N778" i="1"/>
  <c r="O772" i="1"/>
  <c r="N772" i="1"/>
  <c r="O766" i="1"/>
  <c r="N766" i="1"/>
  <c r="O760" i="1"/>
  <c r="N760" i="1"/>
  <c r="O757" i="1"/>
  <c r="N757" i="1"/>
  <c r="O783" i="1"/>
  <c r="N783" i="1"/>
  <c r="O777" i="1"/>
  <c r="N777" i="1"/>
  <c r="O771" i="1"/>
  <c r="N771" i="1"/>
  <c r="O765" i="1"/>
  <c r="N765" i="1"/>
  <c r="O759" i="1"/>
  <c r="N759" i="1"/>
  <c r="O756" i="1"/>
  <c r="N756" i="1"/>
  <c r="S208" i="1"/>
  <c r="R208" i="1"/>
  <c r="Q208" i="1"/>
  <c r="M208" i="1"/>
  <c r="N208" i="1" s="1"/>
  <c r="O207" i="1"/>
  <c r="N207" i="1"/>
  <c r="O206" i="1"/>
  <c r="N206" i="1"/>
  <c r="O205" i="1"/>
  <c r="N205" i="1"/>
  <c r="O204" i="1"/>
  <c r="N204" i="1"/>
  <c r="O203" i="1"/>
  <c r="N203" i="1"/>
  <c r="S179" i="1"/>
  <c r="R179" i="1"/>
  <c r="Q179" i="1"/>
  <c r="O175" i="1"/>
  <c r="N175" i="1"/>
  <c r="O173" i="1"/>
  <c r="N173" i="1"/>
  <c r="O178" i="1"/>
  <c r="N178" i="1"/>
  <c r="O176" i="1"/>
  <c r="N176" i="1"/>
  <c r="O174" i="1"/>
  <c r="N174" i="1"/>
  <c r="O172" i="1"/>
  <c r="N172" i="1"/>
  <c r="O170" i="1"/>
  <c r="N170" i="1"/>
  <c r="O169" i="1"/>
  <c r="N169" i="1"/>
  <c r="O578" i="1"/>
  <c r="N578" i="1"/>
  <c r="O572" i="1"/>
  <c r="N572" i="1"/>
  <c r="O566" i="1"/>
  <c r="N566" i="1"/>
  <c r="O560" i="1"/>
  <c r="N560" i="1"/>
  <c r="O554" i="1"/>
  <c r="N554" i="1"/>
  <c r="O548" i="1"/>
  <c r="N548" i="1"/>
  <c r="O577" i="1"/>
  <c r="N577" i="1"/>
  <c r="O571" i="1"/>
  <c r="N571" i="1"/>
  <c r="O565" i="1"/>
  <c r="N565" i="1"/>
  <c r="O559" i="1"/>
  <c r="N559" i="1"/>
  <c r="O553" i="1"/>
  <c r="N553" i="1"/>
  <c r="O576" i="1"/>
  <c r="N576" i="1"/>
  <c r="O570" i="1"/>
  <c r="N570" i="1"/>
  <c r="O564" i="1"/>
  <c r="N564" i="1"/>
  <c r="O558" i="1"/>
  <c r="N558" i="1"/>
  <c r="O552" i="1"/>
  <c r="N552" i="1"/>
  <c r="O575" i="1"/>
  <c r="N575" i="1"/>
  <c r="O569" i="1"/>
  <c r="N569" i="1"/>
  <c r="O563" i="1"/>
  <c r="N563" i="1"/>
  <c r="O557" i="1"/>
  <c r="N557" i="1"/>
  <c r="O551" i="1"/>
  <c r="N551" i="1"/>
  <c r="O574" i="1"/>
  <c r="N574" i="1"/>
  <c r="O568" i="1"/>
  <c r="N568" i="1"/>
  <c r="O562" i="1"/>
  <c r="N562" i="1"/>
  <c r="O556" i="1"/>
  <c r="N556" i="1"/>
  <c r="O550" i="1"/>
  <c r="N550" i="1"/>
  <c r="O573" i="1"/>
  <c r="N573" i="1"/>
  <c r="O567" i="1"/>
  <c r="N567" i="1"/>
  <c r="O561" i="1"/>
  <c r="N561" i="1"/>
  <c r="K561" i="1"/>
  <c r="O555" i="1"/>
  <c r="N555" i="1"/>
  <c r="K555" i="1"/>
  <c r="O549" i="1"/>
  <c r="N549" i="1"/>
  <c r="K549" i="1"/>
  <c r="O547" i="1"/>
  <c r="N547" i="1"/>
  <c r="K547" i="1"/>
  <c r="O546" i="1"/>
  <c r="N546" i="1"/>
  <c r="K546" i="1"/>
  <c r="O545" i="1"/>
  <c r="N545" i="1"/>
  <c r="K545" i="1"/>
  <c r="O544" i="1"/>
  <c r="N544" i="1"/>
  <c r="K544" i="1"/>
  <c r="O543" i="1"/>
  <c r="N543" i="1"/>
  <c r="K543" i="1"/>
  <c r="O542" i="1"/>
  <c r="N542" i="1"/>
  <c r="K542" i="1"/>
  <c r="O541" i="1"/>
  <c r="N541" i="1"/>
  <c r="K541" i="1"/>
  <c r="O540" i="1"/>
  <c r="N540" i="1"/>
  <c r="K540" i="1"/>
  <c r="O244" i="1"/>
  <c r="N244" i="1"/>
  <c r="O241" i="1"/>
  <c r="N241" i="1"/>
  <c r="O238" i="1"/>
  <c r="N238" i="1"/>
  <c r="O235" i="1"/>
  <c r="N235" i="1"/>
  <c r="O232" i="1"/>
  <c r="N232" i="1"/>
  <c r="S315" i="1"/>
  <c r="R315" i="1"/>
  <c r="Q315" i="1"/>
  <c r="K315" i="1"/>
  <c r="K314" i="1"/>
  <c r="K313" i="1"/>
  <c r="K312" i="1"/>
  <c r="K311" i="1"/>
  <c r="O493" i="1"/>
  <c r="N493" i="1"/>
  <c r="K493" i="1"/>
  <c r="O492" i="1"/>
  <c r="N492" i="1"/>
  <c r="K492" i="1"/>
  <c r="O491" i="1"/>
  <c r="N491" i="1"/>
  <c r="K491" i="1"/>
  <c r="O490" i="1"/>
  <c r="N490" i="1"/>
  <c r="K490" i="1"/>
  <c r="O489" i="1"/>
  <c r="N489" i="1"/>
  <c r="K489" i="1"/>
  <c r="O488" i="1"/>
  <c r="N488" i="1"/>
  <c r="K488" i="1"/>
  <c r="O487" i="1"/>
  <c r="N487" i="1"/>
  <c r="K487" i="1"/>
  <c r="O486" i="1"/>
  <c r="N486" i="1"/>
  <c r="K486" i="1"/>
  <c r="O485" i="1"/>
  <c r="N485" i="1"/>
  <c r="K485" i="1"/>
  <c r="O484" i="1"/>
  <c r="N484" i="1"/>
  <c r="K484" i="1"/>
  <c r="O307" i="1"/>
  <c r="N307" i="1"/>
  <c r="K307" i="1"/>
  <c r="O306" i="1"/>
  <c r="N306" i="1"/>
  <c r="K306" i="1"/>
  <c r="O305" i="1"/>
  <c r="N305" i="1"/>
  <c r="K305" i="1"/>
  <c r="O304" i="1"/>
  <c r="N304" i="1"/>
  <c r="K304" i="1"/>
  <c r="O303" i="1"/>
  <c r="N303" i="1"/>
  <c r="K303" i="1"/>
  <c r="O302" i="1"/>
  <c r="N302" i="1"/>
  <c r="K302" i="1"/>
  <c r="O301" i="1"/>
  <c r="N301" i="1"/>
  <c r="K301" i="1"/>
  <c r="O300" i="1"/>
  <c r="N300" i="1"/>
  <c r="K300" i="1"/>
  <c r="O299" i="1"/>
  <c r="N299" i="1"/>
  <c r="K299" i="1"/>
  <c r="O298" i="1"/>
  <c r="N298" i="1"/>
  <c r="K298" i="1"/>
  <c r="S361" i="1"/>
  <c r="R361" i="1"/>
  <c r="Q361" i="1"/>
  <c r="M361" i="1"/>
  <c r="O358" i="1"/>
  <c r="N358" i="1"/>
  <c r="O355" i="1"/>
  <c r="N355" i="1"/>
  <c r="O352" i="1"/>
  <c r="N352" i="1"/>
  <c r="K352" i="1"/>
  <c r="O349" i="1"/>
  <c r="N349" i="1"/>
  <c r="K349" i="1"/>
  <c r="O362" i="1"/>
  <c r="N362" i="1"/>
  <c r="O359" i="1"/>
  <c r="N359" i="1"/>
  <c r="O356" i="1"/>
  <c r="N356" i="1"/>
  <c r="O353" i="1"/>
  <c r="N353" i="1"/>
  <c r="O350" i="1"/>
  <c r="N350" i="1"/>
  <c r="O213" i="1"/>
  <c r="N213" i="1"/>
  <c r="O212" i="1"/>
  <c r="N212" i="1"/>
  <c r="O211" i="1"/>
  <c r="N211" i="1"/>
  <c r="O210" i="1"/>
  <c r="N210" i="1"/>
  <c r="O209" i="1"/>
  <c r="N209" i="1"/>
  <c r="O851" i="1"/>
  <c r="N851" i="1"/>
  <c r="O850" i="1"/>
  <c r="N850" i="1"/>
  <c r="O849" i="1"/>
  <c r="N849" i="1"/>
  <c r="O848" i="1"/>
  <c r="N848" i="1"/>
  <c r="O847" i="1"/>
  <c r="N847" i="1"/>
  <c r="O363" i="1"/>
  <c r="N363" i="1"/>
  <c r="K363" i="1"/>
  <c r="O360" i="1"/>
  <c r="N360" i="1"/>
  <c r="K360" i="1"/>
  <c r="O357" i="1"/>
  <c r="N357" i="1"/>
  <c r="K357" i="1"/>
  <c r="O354" i="1"/>
  <c r="N354" i="1"/>
  <c r="K354" i="1"/>
  <c r="O351" i="1"/>
  <c r="N351" i="1"/>
  <c r="K351" i="1"/>
  <c r="O348" i="1"/>
  <c r="N348" i="1"/>
  <c r="K348" i="1"/>
  <c r="O347" i="1"/>
  <c r="K347" i="1"/>
  <c r="O346" i="1"/>
  <c r="N346" i="1"/>
  <c r="K346" i="1"/>
  <c r="O345" i="1"/>
  <c r="N345" i="1"/>
  <c r="K345" i="1"/>
  <c r="O344" i="1"/>
  <c r="N344" i="1"/>
  <c r="K344" i="1"/>
  <c r="O343" i="1"/>
  <c r="N343" i="1"/>
  <c r="K343" i="1"/>
  <c r="O342" i="1"/>
  <c r="N342" i="1"/>
  <c r="K342" i="1"/>
  <c r="O341" i="1"/>
  <c r="N341" i="1"/>
  <c r="K341" i="1"/>
  <c r="O846" i="1"/>
  <c r="N846" i="1"/>
  <c r="O845" i="1"/>
  <c r="N845" i="1"/>
  <c r="O844" i="1"/>
  <c r="N844" i="1"/>
  <c r="O843" i="1"/>
  <c r="N843" i="1"/>
  <c r="O842" i="1"/>
  <c r="N842" i="1"/>
  <c r="O841" i="1"/>
  <c r="N841" i="1"/>
  <c r="O840" i="1"/>
  <c r="N840" i="1"/>
  <c r="O742" i="1"/>
  <c r="N742" i="1"/>
  <c r="K742" i="1"/>
  <c r="O726" i="1"/>
  <c r="N726" i="1"/>
  <c r="K726" i="1"/>
  <c r="O710" i="1"/>
  <c r="N710" i="1"/>
  <c r="K710" i="1"/>
  <c r="O694" i="1"/>
  <c r="N694" i="1"/>
  <c r="K694" i="1"/>
  <c r="O678" i="1"/>
  <c r="N678" i="1"/>
  <c r="K678" i="1"/>
  <c r="O663" i="1"/>
  <c r="N663" i="1"/>
  <c r="K663" i="1"/>
  <c r="O649" i="1"/>
  <c r="N649" i="1"/>
  <c r="K649" i="1"/>
  <c r="O637" i="1"/>
  <c r="N637" i="1"/>
  <c r="K637" i="1"/>
  <c r="O627" i="1"/>
  <c r="N627" i="1"/>
  <c r="K627" i="1"/>
  <c r="O617" i="1"/>
  <c r="N617" i="1"/>
  <c r="K617" i="1"/>
  <c r="O607" i="1"/>
  <c r="N607" i="1"/>
  <c r="K607" i="1"/>
  <c r="O597" i="1"/>
  <c r="N597" i="1"/>
  <c r="K597" i="1"/>
  <c r="O587" i="1"/>
  <c r="N587" i="1"/>
  <c r="K587" i="1"/>
  <c r="O741" i="1"/>
  <c r="N741" i="1"/>
  <c r="K741" i="1"/>
  <c r="O725" i="1"/>
  <c r="N725" i="1"/>
  <c r="K725" i="1"/>
  <c r="O709" i="1"/>
  <c r="N709" i="1"/>
  <c r="K709" i="1"/>
  <c r="O693" i="1"/>
  <c r="N693" i="1"/>
  <c r="K693" i="1"/>
  <c r="O677" i="1"/>
  <c r="N677" i="1"/>
  <c r="K677" i="1"/>
  <c r="O662" i="1"/>
  <c r="N662" i="1"/>
  <c r="K662" i="1"/>
  <c r="O648" i="1"/>
  <c r="N648" i="1"/>
  <c r="K648" i="1"/>
  <c r="O636" i="1"/>
  <c r="N636" i="1"/>
  <c r="K636" i="1"/>
  <c r="O626" i="1"/>
  <c r="N626" i="1"/>
  <c r="K626" i="1"/>
  <c r="O616" i="1"/>
  <c r="N616" i="1"/>
  <c r="K616" i="1"/>
  <c r="O606" i="1"/>
  <c r="N606" i="1"/>
  <c r="K606" i="1"/>
  <c r="O596" i="1"/>
  <c r="N596" i="1"/>
  <c r="K596" i="1"/>
  <c r="O586" i="1"/>
  <c r="N586" i="1"/>
  <c r="K586" i="1"/>
  <c r="O740" i="1"/>
  <c r="N740" i="1"/>
  <c r="O724" i="1"/>
  <c r="N724" i="1"/>
  <c r="O708" i="1"/>
  <c r="N708" i="1"/>
  <c r="O692" i="1"/>
  <c r="N692" i="1"/>
  <c r="O676" i="1"/>
  <c r="N676" i="1"/>
  <c r="O661" i="1"/>
  <c r="N661" i="1"/>
  <c r="O647" i="1"/>
  <c r="N647" i="1"/>
  <c r="O635" i="1"/>
  <c r="N635" i="1"/>
  <c r="O739" i="1"/>
  <c r="N739" i="1"/>
  <c r="K739" i="1"/>
  <c r="O723" i="1"/>
  <c r="N723" i="1"/>
  <c r="K723" i="1"/>
  <c r="O707" i="1"/>
  <c r="N707" i="1"/>
  <c r="K707" i="1"/>
  <c r="O691" i="1"/>
  <c r="N691" i="1"/>
  <c r="K691" i="1"/>
  <c r="O675" i="1"/>
  <c r="N675" i="1"/>
  <c r="K675" i="1"/>
  <c r="O660" i="1"/>
  <c r="N660" i="1"/>
  <c r="K660" i="1"/>
  <c r="O646" i="1"/>
  <c r="N646" i="1"/>
  <c r="K646" i="1"/>
  <c r="O634" i="1"/>
  <c r="N634" i="1"/>
  <c r="K634" i="1"/>
  <c r="O625" i="1"/>
  <c r="N625" i="1"/>
  <c r="K625" i="1"/>
  <c r="O615" i="1"/>
  <c r="N615" i="1"/>
  <c r="K615" i="1"/>
  <c r="O605" i="1"/>
  <c r="N605" i="1"/>
  <c r="K605" i="1"/>
  <c r="O595" i="1"/>
  <c r="N595" i="1"/>
  <c r="K595" i="1"/>
  <c r="O585" i="1"/>
  <c r="N585" i="1"/>
  <c r="K585" i="1"/>
  <c r="O738" i="1"/>
  <c r="N738" i="1"/>
  <c r="O722" i="1"/>
  <c r="N722" i="1"/>
  <c r="O706" i="1"/>
  <c r="N706" i="1"/>
  <c r="O690" i="1"/>
  <c r="N690" i="1"/>
  <c r="O674" i="1"/>
  <c r="N674" i="1"/>
  <c r="O659" i="1"/>
  <c r="N659" i="1"/>
  <c r="O737" i="1"/>
  <c r="N737" i="1"/>
  <c r="O721" i="1"/>
  <c r="N721" i="1"/>
  <c r="O705" i="1"/>
  <c r="N705" i="1"/>
  <c r="O689" i="1"/>
  <c r="N689" i="1"/>
  <c r="O673" i="1"/>
  <c r="N673" i="1"/>
  <c r="O736" i="1"/>
  <c r="N736" i="1"/>
  <c r="O720" i="1"/>
  <c r="N720" i="1"/>
  <c r="O704" i="1"/>
  <c r="N704" i="1"/>
  <c r="O688" i="1"/>
  <c r="N688" i="1"/>
  <c r="O672" i="1"/>
  <c r="N672" i="1"/>
  <c r="O658" i="1"/>
  <c r="N658" i="1"/>
  <c r="S735" i="1"/>
  <c r="R735" i="1"/>
  <c r="Q735" i="1"/>
  <c r="O735" i="1"/>
  <c r="N735" i="1"/>
  <c r="K735" i="1"/>
  <c r="O719" i="1"/>
  <c r="N719" i="1"/>
  <c r="K719" i="1"/>
  <c r="O703" i="1"/>
  <c r="N703" i="1"/>
  <c r="K703" i="1"/>
  <c r="O687" i="1"/>
  <c r="N687" i="1"/>
  <c r="K687" i="1"/>
  <c r="O671" i="1"/>
  <c r="N671" i="1"/>
  <c r="K671" i="1"/>
  <c r="O657" i="1"/>
  <c r="N657" i="1"/>
  <c r="K657" i="1"/>
  <c r="O645" i="1"/>
  <c r="N645" i="1"/>
  <c r="K645" i="1"/>
  <c r="O633" i="1"/>
  <c r="N633" i="1"/>
  <c r="K633" i="1"/>
  <c r="O624" i="1"/>
  <c r="N624" i="1"/>
  <c r="K624" i="1"/>
  <c r="O614" i="1"/>
  <c r="N614" i="1"/>
  <c r="K614" i="1"/>
  <c r="O604" i="1"/>
  <c r="N604" i="1"/>
  <c r="K604" i="1"/>
  <c r="O594" i="1"/>
  <c r="N594" i="1"/>
  <c r="K594" i="1"/>
  <c r="O584" i="1"/>
  <c r="N584" i="1"/>
  <c r="K584" i="1"/>
  <c r="O734" i="1"/>
  <c r="N734" i="1"/>
  <c r="O718" i="1"/>
  <c r="N718" i="1"/>
  <c r="O702" i="1"/>
  <c r="N702" i="1"/>
  <c r="O686" i="1"/>
  <c r="N686" i="1"/>
  <c r="O670" i="1"/>
  <c r="N670" i="1"/>
  <c r="O656" i="1"/>
  <c r="N656" i="1"/>
  <c r="O644" i="1"/>
  <c r="N644" i="1"/>
  <c r="K733" i="1"/>
  <c r="K717" i="1"/>
  <c r="K701" i="1"/>
  <c r="K685" i="1"/>
  <c r="K623" i="1"/>
  <c r="K613" i="1"/>
  <c r="O603" i="1"/>
  <c r="N603" i="1"/>
  <c r="K603" i="1"/>
  <c r="O593" i="1"/>
  <c r="N593" i="1"/>
  <c r="K593" i="1"/>
  <c r="O732" i="1"/>
  <c r="N732" i="1"/>
  <c r="K732" i="1"/>
  <c r="O716" i="1"/>
  <c r="N716" i="1"/>
  <c r="K716" i="1"/>
  <c r="O700" i="1"/>
  <c r="N700" i="1"/>
  <c r="K700" i="1"/>
  <c r="O684" i="1"/>
  <c r="N684" i="1"/>
  <c r="K684" i="1"/>
  <c r="O669" i="1"/>
  <c r="N669" i="1"/>
  <c r="K669" i="1"/>
  <c r="O655" i="1"/>
  <c r="N655" i="1"/>
  <c r="K655" i="1"/>
  <c r="O643" i="1"/>
  <c r="N643" i="1"/>
  <c r="K643" i="1"/>
  <c r="O632" i="1"/>
  <c r="N632" i="1"/>
  <c r="K632" i="1"/>
  <c r="O622" i="1"/>
  <c r="N622" i="1"/>
  <c r="K622" i="1"/>
  <c r="O612" i="1"/>
  <c r="N612" i="1"/>
  <c r="K612" i="1"/>
  <c r="O602" i="1"/>
  <c r="N602" i="1"/>
  <c r="K602" i="1"/>
  <c r="O592" i="1"/>
  <c r="N592" i="1"/>
  <c r="K592" i="1"/>
  <c r="O583" i="1"/>
  <c r="N583" i="1"/>
  <c r="K583" i="1"/>
  <c r="O731" i="1"/>
  <c r="N731" i="1"/>
  <c r="K731" i="1"/>
  <c r="O715" i="1"/>
  <c r="N715" i="1"/>
  <c r="K715" i="1"/>
  <c r="O699" i="1"/>
  <c r="N699" i="1"/>
  <c r="K699" i="1"/>
  <c r="O683" i="1"/>
  <c r="N683" i="1"/>
  <c r="K683" i="1"/>
  <c r="O668" i="1"/>
  <c r="N668" i="1"/>
  <c r="K668" i="1"/>
  <c r="O654" i="1"/>
  <c r="N654" i="1"/>
  <c r="K654" i="1"/>
  <c r="O642" i="1"/>
  <c r="N642" i="1"/>
  <c r="K642" i="1"/>
  <c r="O631" i="1"/>
  <c r="N631" i="1"/>
  <c r="K631" i="1"/>
  <c r="O621" i="1"/>
  <c r="N621" i="1"/>
  <c r="K621" i="1"/>
  <c r="O611" i="1"/>
  <c r="N611" i="1"/>
  <c r="K611" i="1"/>
  <c r="O601" i="1"/>
  <c r="N601" i="1"/>
  <c r="K601" i="1"/>
  <c r="O591" i="1"/>
  <c r="N591" i="1"/>
  <c r="K591" i="1"/>
  <c r="O582" i="1"/>
  <c r="N582" i="1"/>
  <c r="K582" i="1"/>
  <c r="O730" i="1"/>
  <c r="N730" i="1"/>
  <c r="K730" i="1"/>
  <c r="O714" i="1"/>
  <c r="N714" i="1"/>
  <c r="K714" i="1"/>
  <c r="O698" i="1"/>
  <c r="N698" i="1"/>
  <c r="K698" i="1"/>
  <c r="O682" i="1"/>
  <c r="N682" i="1"/>
  <c r="K682" i="1"/>
  <c r="O667" i="1"/>
  <c r="N667" i="1"/>
  <c r="K667" i="1"/>
  <c r="O653" i="1"/>
  <c r="N653" i="1"/>
  <c r="K653" i="1"/>
  <c r="O641" i="1"/>
  <c r="N641" i="1"/>
  <c r="K641" i="1"/>
  <c r="O630" i="1"/>
  <c r="N630" i="1"/>
  <c r="K630" i="1"/>
  <c r="O620" i="1"/>
  <c r="N620" i="1"/>
  <c r="K620" i="1"/>
  <c r="O610" i="1"/>
  <c r="N610" i="1"/>
  <c r="K610" i="1"/>
  <c r="O600" i="1"/>
  <c r="N600" i="1"/>
  <c r="K600" i="1"/>
  <c r="O590" i="1"/>
  <c r="N590" i="1"/>
  <c r="K590" i="1"/>
  <c r="O581" i="1"/>
  <c r="N581" i="1"/>
  <c r="K581" i="1"/>
  <c r="O729" i="1"/>
  <c r="N729" i="1"/>
  <c r="K729" i="1"/>
  <c r="O713" i="1"/>
  <c r="N713" i="1"/>
  <c r="K713" i="1"/>
  <c r="O697" i="1"/>
  <c r="N697" i="1"/>
  <c r="K697" i="1"/>
  <c r="O681" i="1"/>
  <c r="N681" i="1"/>
  <c r="K681" i="1"/>
  <c r="O666" i="1"/>
  <c r="N666" i="1"/>
  <c r="K666" i="1"/>
  <c r="O652" i="1"/>
  <c r="N652" i="1"/>
  <c r="K652" i="1"/>
  <c r="O640" i="1"/>
  <c r="N640" i="1"/>
  <c r="K640" i="1"/>
  <c r="O629" i="1"/>
  <c r="N629" i="1"/>
  <c r="K629" i="1"/>
  <c r="O619" i="1"/>
  <c r="N619" i="1"/>
  <c r="K619" i="1"/>
  <c r="O609" i="1"/>
  <c r="N609" i="1"/>
  <c r="K609" i="1"/>
  <c r="O599" i="1"/>
  <c r="N599" i="1"/>
  <c r="K599" i="1"/>
  <c r="O589" i="1"/>
  <c r="N589" i="1"/>
  <c r="K589" i="1"/>
  <c r="O580" i="1"/>
  <c r="N580" i="1"/>
  <c r="K580" i="1"/>
  <c r="O728" i="1"/>
  <c r="N728" i="1"/>
  <c r="K728" i="1"/>
  <c r="O712" i="1"/>
  <c r="N712" i="1"/>
  <c r="K712" i="1"/>
  <c r="O696" i="1"/>
  <c r="N696" i="1"/>
  <c r="K696" i="1"/>
  <c r="O680" i="1"/>
  <c r="N680" i="1"/>
  <c r="K680" i="1"/>
  <c r="O665" i="1"/>
  <c r="N665" i="1"/>
  <c r="K665" i="1"/>
  <c r="O651" i="1"/>
  <c r="N651" i="1"/>
  <c r="K651" i="1"/>
  <c r="O639" i="1"/>
  <c r="N639" i="1"/>
  <c r="K639" i="1"/>
  <c r="O628" i="1"/>
  <c r="N628" i="1"/>
  <c r="K628" i="1"/>
  <c r="O618" i="1"/>
  <c r="N618" i="1"/>
  <c r="K618" i="1"/>
  <c r="O608" i="1"/>
  <c r="N608" i="1"/>
  <c r="K608" i="1"/>
  <c r="O598" i="1"/>
  <c r="N598" i="1"/>
  <c r="K598" i="1"/>
  <c r="O588" i="1"/>
  <c r="N588" i="1"/>
  <c r="K588" i="1"/>
  <c r="O579" i="1"/>
  <c r="N579" i="1"/>
  <c r="K579" i="1"/>
  <c r="O727" i="1"/>
  <c r="N727" i="1"/>
  <c r="O711" i="1"/>
  <c r="N711" i="1"/>
  <c r="O695" i="1"/>
  <c r="N695" i="1"/>
  <c r="O679" i="1"/>
  <c r="N679" i="1"/>
  <c r="O664" i="1"/>
  <c r="N664" i="1"/>
  <c r="O650" i="1"/>
  <c r="N650" i="1"/>
  <c r="O638" i="1"/>
  <c r="N638" i="1"/>
  <c r="S456" i="1"/>
  <c r="R456" i="1"/>
  <c r="Q456" i="1"/>
  <c r="O456" i="1"/>
  <c r="N456" i="1"/>
  <c r="O450" i="1"/>
  <c r="N450" i="1"/>
  <c r="O444" i="1"/>
  <c r="N444" i="1"/>
  <c r="O438" i="1"/>
  <c r="N438" i="1"/>
  <c r="O433" i="1"/>
  <c r="N433" i="1"/>
  <c r="O427" i="1"/>
  <c r="N427" i="1"/>
  <c r="O422" i="1"/>
  <c r="N422" i="1"/>
  <c r="O417" i="1"/>
  <c r="N417" i="1"/>
  <c r="O455" i="1"/>
  <c r="K455" i="1"/>
  <c r="O449" i="1"/>
  <c r="K449" i="1"/>
  <c r="O443" i="1"/>
  <c r="N443" i="1"/>
  <c r="K443" i="1"/>
  <c r="O432" i="1"/>
  <c r="N432" i="1"/>
  <c r="K432" i="1"/>
  <c r="S454" i="1"/>
  <c r="R454" i="1"/>
  <c r="Q454" i="1"/>
  <c r="M454" i="1"/>
  <c r="K454" i="1"/>
  <c r="O448" i="1"/>
  <c r="N448" i="1"/>
  <c r="K448" i="1"/>
  <c r="O442" i="1"/>
  <c r="N442" i="1"/>
  <c r="K442" i="1"/>
  <c r="O437" i="1"/>
  <c r="N437" i="1"/>
  <c r="K437" i="1"/>
  <c r="O431" i="1"/>
  <c r="N431" i="1"/>
  <c r="K431" i="1"/>
  <c r="O426" i="1"/>
  <c r="N426" i="1"/>
  <c r="K426" i="1"/>
  <c r="O421" i="1"/>
  <c r="N421" i="1"/>
  <c r="K421" i="1"/>
  <c r="O416" i="1"/>
  <c r="N416" i="1"/>
  <c r="K416" i="1"/>
  <c r="O412" i="1"/>
  <c r="N412" i="1"/>
  <c r="K412" i="1"/>
  <c r="O408" i="1"/>
  <c r="N408" i="1"/>
  <c r="K408" i="1"/>
  <c r="O404" i="1"/>
  <c r="N404" i="1"/>
  <c r="K404" i="1"/>
  <c r="O400" i="1"/>
  <c r="N400" i="1"/>
  <c r="K400" i="1"/>
  <c r="O396" i="1"/>
  <c r="N396" i="1"/>
  <c r="K396" i="1"/>
  <c r="O453" i="1"/>
  <c r="N453" i="1"/>
  <c r="K453" i="1"/>
  <c r="O447" i="1"/>
  <c r="N447" i="1"/>
  <c r="K447" i="1"/>
  <c r="O441" i="1"/>
  <c r="N441" i="1"/>
  <c r="K441" i="1"/>
  <c r="O436" i="1"/>
  <c r="N436" i="1"/>
  <c r="K436" i="1"/>
  <c r="O430" i="1"/>
  <c r="N430" i="1"/>
  <c r="K430" i="1"/>
  <c r="O425" i="1"/>
  <c r="N425" i="1"/>
  <c r="K425" i="1"/>
  <c r="O420" i="1"/>
  <c r="N420" i="1"/>
  <c r="K420" i="1"/>
  <c r="O415" i="1"/>
  <c r="N415" i="1"/>
  <c r="K415" i="1"/>
  <c r="O411" i="1"/>
  <c r="N411" i="1"/>
  <c r="K411" i="1"/>
  <c r="O407" i="1"/>
  <c r="N407" i="1"/>
  <c r="K407" i="1"/>
  <c r="O403" i="1"/>
  <c r="N403" i="1"/>
  <c r="K403" i="1"/>
  <c r="O399" i="1"/>
  <c r="N399" i="1"/>
  <c r="K399" i="1"/>
  <c r="O395" i="1"/>
  <c r="N395" i="1"/>
  <c r="K395" i="1"/>
  <c r="S452" i="1"/>
  <c r="R452" i="1"/>
  <c r="Q452" i="1"/>
  <c r="M452" i="1"/>
  <c r="K452" i="1"/>
  <c r="O446" i="1"/>
  <c r="N446" i="1"/>
  <c r="K446" i="1"/>
  <c r="O440" i="1"/>
  <c r="N440" i="1"/>
  <c r="K440" i="1"/>
  <c r="O435" i="1"/>
  <c r="N435" i="1"/>
  <c r="K435" i="1"/>
  <c r="O429" i="1"/>
  <c r="N429" i="1"/>
  <c r="K429" i="1"/>
  <c r="O424" i="1"/>
  <c r="N424" i="1"/>
  <c r="K424" i="1"/>
  <c r="O419" i="1"/>
  <c r="N419" i="1"/>
  <c r="K419" i="1"/>
  <c r="O414" i="1"/>
  <c r="N414" i="1"/>
  <c r="K414" i="1"/>
  <c r="O410" i="1"/>
  <c r="N410" i="1"/>
  <c r="K410" i="1"/>
  <c r="O406" i="1"/>
  <c r="N406" i="1"/>
  <c r="K406" i="1"/>
  <c r="O402" i="1"/>
  <c r="N402" i="1"/>
  <c r="K402" i="1"/>
  <c r="O398" i="1"/>
  <c r="N398" i="1"/>
  <c r="K398" i="1"/>
  <c r="O394" i="1"/>
  <c r="N394" i="1"/>
  <c r="K394" i="1"/>
  <c r="O451" i="1"/>
  <c r="N451" i="1"/>
  <c r="K451" i="1"/>
  <c r="O445" i="1"/>
  <c r="N445" i="1"/>
  <c r="K445" i="1"/>
  <c r="O439" i="1"/>
  <c r="N439" i="1"/>
  <c r="K439" i="1"/>
  <c r="O434" i="1"/>
  <c r="N434" i="1"/>
  <c r="K434" i="1"/>
  <c r="O428" i="1"/>
  <c r="N428" i="1"/>
  <c r="K428" i="1"/>
  <c r="O423" i="1"/>
  <c r="N423" i="1"/>
  <c r="K423" i="1"/>
  <c r="O418" i="1"/>
  <c r="N418" i="1"/>
  <c r="K418" i="1"/>
  <c r="O413" i="1"/>
  <c r="N413" i="1"/>
  <c r="K413" i="1"/>
  <c r="O409" i="1"/>
  <c r="N409" i="1"/>
  <c r="K409" i="1"/>
  <c r="O405" i="1"/>
  <c r="N405" i="1"/>
  <c r="K405" i="1"/>
  <c r="O401" i="1"/>
  <c r="N401" i="1"/>
  <c r="K401" i="1"/>
  <c r="O397" i="1"/>
  <c r="N397" i="1"/>
  <c r="K397" i="1"/>
  <c r="O393" i="1"/>
  <c r="N393" i="1"/>
  <c r="K393" i="1"/>
  <c r="O271" i="1"/>
  <c r="N271" i="1"/>
  <c r="K271" i="1"/>
  <c r="O269" i="1"/>
  <c r="N269" i="1"/>
  <c r="K269" i="1"/>
  <c r="O267" i="1"/>
  <c r="N267" i="1"/>
  <c r="K267" i="1"/>
  <c r="O265" i="1"/>
  <c r="N265" i="1"/>
  <c r="K265" i="1"/>
  <c r="O263" i="1"/>
  <c r="N263" i="1"/>
  <c r="K263" i="1"/>
  <c r="O274" i="1"/>
  <c r="N274" i="1"/>
  <c r="K274" i="1"/>
  <c r="O273" i="1"/>
  <c r="N273" i="1"/>
  <c r="K273" i="1"/>
  <c r="O272" i="1"/>
  <c r="N272" i="1"/>
  <c r="K272" i="1"/>
  <c r="O270" i="1"/>
  <c r="N270" i="1"/>
  <c r="K270" i="1"/>
  <c r="O268" i="1"/>
  <c r="N268" i="1"/>
  <c r="K268" i="1"/>
  <c r="O266" i="1"/>
  <c r="N266" i="1"/>
  <c r="K266" i="1"/>
  <c r="O264" i="1"/>
  <c r="N264" i="1"/>
  <c r="K264" i="1"/>
  <c r="O262" i="1"/>
  <c r="N262" i="1"/>
  <c r="K262" i="1"/>
  <c r="O372" i="1"/>
  <c r="N372" i="1"/>
  <c r="K372" i="1"/>
  <c r="O369" i="1"/>
  <c r="N369" i="1"/>
  <c r="K369" i="1"/>
  <c r="K366" i="1"/>
  <c r="M392" i="1"/>
  <c r="K392" i="1"/>
  <c r="O390" i="1"/>
  <c r="N390" i="1"/>
  <c r="K390" i="1"/>
  <c r="O388" i="1"/>
  <c r="N388" i="1"/>
  <c r="K388" i="1"/>
  <c r="O386" i="1"/>
  <c r="N386" i="1"/>
  <c r="K386" i="1"/>
  <c r="O384" i="1"/>
  <c r="N384" i="1"/>
  <c r="K384" i="1"/>
  <c r="O382" i="1"/>
  <c r="N382" i="1"/>
  <c r="K382" i="1"/>
  <c r="O380" i="1"/>
  <c r="N380" i="1"/>
  <c r="K380" i="1"/>
  <c r="O378" i="1"/>
  <c r="N378" i="1"/>
  <c r="K378" i="1"/>
  <c r="O376" i="1"/>
  <c r="N376" i="1"/>
  <c r="K376" i="1"/>
  <c r="O374" i="1"/>
  <c r="N374" i="1"/>
  <c r="K374" i="1"/>
  <c r="O371" i="1"/>
  <c r="N371" i="1"/>
  <c r="K371" i="1"/>
  <c r="O368" i="1"/>
  <c r="N368" i="1"/>
  <c r="K368" i="1"/>
  <c r="K365" i="1"/>
  <c r="O391" i="1"/>
  <c r="N391" i="1"/>
  <c r="K391" i="1"/>
  <c r="O389" i="1"/>
  <c r="N389" i="1"/>
  <c r="K389" i="1"/>
  <c r="O387" i="1"/>
  <c r="N387" i="1"/>
  <c r="K387" i="1"/>
  <c r="O385" i="1"/>
  <c r="N385" i="1"/>
  <c r="K385" i="1"/>
  <c r="O383" i="1"/>
  <c r="N383" i="1"/>
  <c r="K383" i="1"/>
  <c r="O381" i="1"/>
  <c r="N381" i="1"/>
  <c r="K381" i="1"/>
  <c r="O379" i="1"/>
  <c r="N379" i="1"/>
  <c r="K379" i="1"/>
  <c r="O377" i="1"/>
  <c r="N377" i="1"/>
  <c r="K377" i="1"/>
  <c r="O375" i="1"/>
  <c r="N375" i="1"/>
  <c r="K375" i="1"/>
  <c r="O373" i="1"/>
  <c r="N373" i="1"/>
  <c r="K373" i="1"/>
  <c r="O370" i="1"/>
  <c r="N370" i="1"/>
  <c r="K370" i="1"/>
  <c r="O367" i="1"/>
  <c r="N367" i="1"/>
  <c r="K367" i="1"/>
  <c r="O364" i="1"/>
  <c r="N364" i="1"/>
  <c r="K364" i="1"/>
  <c r="O55" i="1"/>
  <c r="N55" i="1"/>
  <c r="K55" i="1"/>
  <c r="O51" i="1"/>
  <c r="N51" i="1"/>
  <c r="K51" i="1"/>
  <c r="O47" i="1"/>
  <c r="N47" i="1"/>
  <c r="K47" i="1"/>
  <c r="O43" i="1"/>
  <c r="N43" i="1"/>
  <c r="K43" i="1"/>
  <c r="O39" i="1"/>
  <c r="N39" i="1"/>
  <c r="K39" i="1"/>
  <c r="O35" i="1"/>
  <c r="N35" i="1"/>
  <c r="K35" i="1"/>
  <c r="O31" i="1"/>
  <c r="N31" i="1"/>
  <c r="K31" i="1"/>
  <c r="O27" i="1"/>
  <c r="N27" i="1"/>
  <c r="K27" i="1"/>
  <c r="O24" i="1"/>
  <c r="N24" i="1"/>
  <c r="K24" i="1"/>
  <c r="O21" i="1"/>
  <c r="N21" i="1"/>
  <c r="K21" i="1"/>
  <c r="O18" i="1"/>
  <c r="N18" i="1"/>
  <c r="K18" i="1"/>
  <c r="O15" i="1"/>
  <c r="N15" i="1"/>
  <c r="K15" i="1"/>
  <c r="O12" i="1"/>
  <c r="N12" i="1"/>
  <c r="K12" i="1"/>
  <c r="O54" i="1"/>
  <c r="N54" i="1"/>
  <c r="O50" i="1"/>
  <c r="N50" i="1"/>
  <c r="O46" i="1"/>
  <c r="N46" i="1"/>
  <c r="O42" i="1"/>
  <c r="N42" i="1"/>
  <c r="O38" i="1"/>
  <c r="N38" i="1"/>
  <c r="O34" i="1"/>
  <c r="N34" i="1"/>
  <c r="O30" i="1"/>
  <c r="N30" i="1"/>
  <c r="O26" i="1"/>
  <c r="N26" i="1"/>
  <c r="O23" i="1"/>
  <c r="N23" i="1"/>
  <c r="O20" i="1"/>
  <c r="N20" i="1"/>
  <c r="K20" i="1"/>
  <c r="O17" i="1"/>
  <c r="N17" i="1"/>
  <c r="K17" i="1"/>
  <c r="O14" i="1"/>
  <c r="N14" i="1"/>
  <c r="K14" i="1"/>
  <c r="O11" i="1"/>
  <c r="N11" i="1"/>
  <c r="K11" i="1"/>
  <c r="S53" i="1"/>
  <c r="R53" i="1"/>
  <c r="Q53" i="1"/>
  <c r="M53" i="1"/>
  <c r="K53" i="1"/>
  <c r="O49" i="1"/>
  <c r="N49" i="1"/>
  <c r="K49" i="1"/>
  <c r="O45" i="1"/>
  <c r="N45" i="1"/>
  <c r="K45" i="1"/>
  <c r="O41" i="1"/>
  <c r="N41" i="1"/>
  <c r="K41" i="1"/>
  <c r="O37" i="1"/>
  <c r="N37" i="1"/>
  <c r="K37" i="1"/>
  <c r="O33" i="1"/>
  <c r="N33" i="1"/>
  <c r="K33" i="1"/>
  <c r="O29" i="1"/>
  <c r="N29" i="1"/>
  <c r="K29" i="1"/>
  <c r="O52" i="1"/>
  <c r="N52" i="1"/>
  <c r="K52" i="1"/>
  <c r="O48" i="1"/>
  <c r="N48" i="1"/>
  <c r="K48" i="1"/>
  <c r="O44" i="1"/>
  <c r="N44" i="1"/>
  <c r="K44" i="1"/>
  <c r="O40" i="1"/>
  <c r="N40" i="1"/>
  <c r="K40" i="1"/>
  <c r="O36" i="1"/>
  <c r="N36" i="1"/>
  <c r="K36" i="1"/>
  <c r="O32" i="1"/>
  <c r="N32" i="1"/>
  <c r="K32" i="1"/>
  <c r="O28" i="1"/>
  <c r="N28" i="1"/>
  <c r="K28" i="1"/>
  <c r="O25" i="1"/>
  <c r="N25" i="1"/>
  <c r="K25" i="1"/>
  <c r="O22" i="1"/>
  <c r="N22" i="1"/>
  <c r="K22" i="1"/>
  <c r="O19" i="1"/>
  <c r="N19" i="1"/>
  <c r="K19" i="1"/>
  <c r="O16" i="1"/>
  <c r="N16" i="1"/>
  <c r="K16" i="1"/>
  <c r="O13" i="1"/>
  <c r="N13" i="1"/>
  <c r="K13" i="1"/>
  <c r="O10" i="1"/>
  <c r="N10" i="1"/>
  <c r="K10" i="1"/>
  <c r="O9" i="1"/>
  <c r="N9" i="1"/>
  <c r="O8" i="1"/>
  <c r="N8" i="1"/>
  <c r="O7" i="1"/>
  <c r="N7" i="1"/>
  <c r="O6" i="1"/>
  <c r="N6" i="1"/>
  <c r="O5" i="1"/>
  <c r="N5" i="1"/>
  <c r="K5" i="1"/>
  <c r="O4" i="1"/>
  <c r="N4" i="1"/>
  <c r="K4" i="1"/>
  <c r="O3" i="1"/>
  <c r="N3" i="1"/>
  <c r="K3" i="1"/>
  <c r="O2" i="1"/>
  <c r="N2" i="1"/>
  <c r="K2" i="1"/>
  <c r="O839" i="1"/>
  <c r="N839" i="1"/>
  <c r="O838" i="1"/>
  <c r="N838" i="1"/>
  <c r="O837" i="1"/>
  <c r="N837" i="1"/>
  <c r="O836" i="1"/>
  <c r="N836" i="1"/>
  <c r="O835" i="1"/>
  <c r="N835" i="1"/>
  <c r="O834" i="1"/>
  <c r="N834" i="1"/>
  <c r="O833" i="1"/>
  <c r="N833" i="1"/>
  <c r="O832" i="1"/>
  <c r="N832" i="1"/>
  <c r="O831" i="1"/>
  <c r="N831" i="1"/>
  <c r="O830" i="1"/>
  <c r="N830" i="1"/>
  <c r="K830" i="1"/>
  <c r="O829" i="1"/>
  <c r="N829" i="1"/>
  <c r="K829" i="1"/>
  <c r="O828" i="1"/>
  <c r="N828" i="1"/>
  <c r="K828" i="1"/>
  <c r="O827" i="1"/>
  <c r="N827" i="1"/>
  <c r="K827" i="1"/>
  <c r="O810" i="1"/>
  <c r="N810" i="1"/>
  <c r="K806" i="1"/>
  <c r="O802" i="1"/>
  <c r="N802" i="1"/>
  <c r="K802" i="1"/>
  <c r="O798" i="1"/>
  <c r="N798" i="1"/>
  <c r="K798" i="1"/>
  <c r="O794" i="1"/>
  <c r="N794" i="1"/>
  <c r="K794" i="1"/>
  <c r="O819" i="1"/>
  <c r="N819" i="1"/>
  <c r="O816" i="1"/>
  <c r="N816" i="1"/>
  <c r="O813" i="1"/>
  <c r="N813" i="1"/>
  <c r="O809" i="1"/>
  <c r="N809" i="1"/>
  <c r="O805" i="1"/>
  <c r="N805" i="1"/>
  <c r="K805" i="1"/>
  <c r="O801" i="1"/>
  <c r="N801" i="1"/>
  <c r="K801" i="1"/>
  <c r="O797" i="1"/>
  <c r="N797" i="1"/>
  <c r="K797" i="1"/>
  <c r="O793" i="1"/>
  <c r="N793" i="1"/>
  <c r="K793" i="1"/>
  <c r="O823" i="1"/>
  <c r="N823" i="1"/>
  <c r="O821" i="1"/>
  <c r="N821" i="1"/>
  <c r="O818" i="1"/>
  <c r="N818" i="1"/>
  <c r="O815" i="1"/>
  <c r="N815" i="1"/>
  <c r="O812" i="1"/>
  <c r="N812" i="1"/>
  <c r="O808" i="1"/>
  <c r="N808" i="1"/>
  <c r="O804" i="1"/>
  <c r="N804" i="1"/>
  <c r="K804" i="1"/>
  <c r="O800" i="1"/>
  <c r="N800" i="1"/>
  <c r="K800" i="1"/>
  <c r="O796" i="1"/>
  <c r="N796" i="1"/>
  <c r="K796" i="1"/>
  <c r="O792" i="1"/>
  <c r="N792" i="1"/>
  <c r="K792" i="1"/>
  <c r="S826" i="1"/>
  <c r="R826" i="1"/>
  <c r="Q826" i="1"/>
  <c r="M826" i="1"/>
  <c r="N826" i="1" s="1"/>
  <c r="O825" i="1"/>
  <c r="N825" i="1"/>
  <c r="O824" i="1"/>
  <c r="N824" i="1"/>
  <c r="O822" i="1"/>
  <c r="N822" i="1"/>
  <c r="O820" i="1"/>
  <c r="N820" i="1"/>
  <c r="O817" i="1"/>
  <c r="N817" i="1"/>
  <c r="O814" i="1"/>
  <c r="N814" i="1"/>
  <c r="O811" i="1"/>
  <c r="N811" i="1"/>
  <c r="O807" i="1"/>
  <c r="N807" i="1"/>
  <c r="O803" i="1"/>
  <c r="N803" i="1"/>
  <c r="K803" i="1"/>
  <c r="O799" i="1"/>
  <c r="N799" i="1"/>
  <c r="K799" i="1"/>
  <c r="O795" i="1"/>
  <c r="N795" i="1"/>
  <c r="K795" i="1"/>
  <c r="S506" i="1"/>
  <c r="R506" i="1"/>
  <c r="Q506" i="1"/>
  <c r="O506" i="1"/>
  <c r="N506" i="1"/>
  <c r="O505" i="1"/>
  <c r="N505" i="1"/>
  <c r="O504" i="1"/>
  <c r="N504" i="1"/>
  <c r="O503" i="1"/>
  <c r="N503" i="1"/>
  <c r="O502" i="1"/>
  <c r="N502" i="1"/>
  <c r="O501" i="1"/>
  <c r="N501" i="1"/>
  <c r="O500" i="1"/>
  <c r="N500" i="1"/>
  <c r="O499" i="1"/>
  <c r="N499" i="1"/>
  <c r="O498" i="1"/>
  <c r="N498" i="1"/>
  <c r="O497" i="1"/>
  <c r="N497" i="1"/>
  <c r="K497" i="1"/>
  <c r="O496" i="1"/>
  <c r="N496" i="1"/>
  <c r="K496" i="1"/>
  <c r="O495" i="1"/>
  <c r="N495" i="1"/>
  <c r="K495" i="1"/>
  <c r="O494" i="1"/>
  <c r="N494" i="1"/>
  <c r="K494" i="1"/>
  <c r="O478" i="1"/>
  <c r="N478" i="1"/>
  <c r="O473" i="1"/>
  <c r="N473" i="1"/>
  <c r="K473" i="1"/>
  <c r="O472" i="1"/>
  <c r="N472" i="1"/>
  <c r="K472" i="1"/>
  <c r="O477" i="1"/>
  <c r="N477" i="1"/>
  <c r="K477" i="1"/>
  <c r="O471" i="1"/>
  <c r="N471" i="1"/>
  <c r="K471" i="1"/>
  <c r="O476" i="1"/>
  <c r="N476" i="1"/>
  <c r="K476" i="1"/>
  <c r="O470" i="1"/>
  <c r="N470" i="1"/>
  <c r="K470" i="1"/>
  <c r="O469" i="1"/>
  <c r="N469" i="1"/>
  <c r="K469" i="1"/>
  <c r="O468" i="1"/>
  <c r="N468" i="1"/>
  <c r="K468" i="1"/>
  <c r="O467" i="1"/>
  <c r="N467" i="1"/>
  <c r="K467" i="1"/>
  <c r="O466" i="1"/>
  <c r="N466" i="1"/>
  <c r="K466" i="1"/>
  <c r="O465" i="1"/>
  <c r="N465" i="1"/>
  <c r="K465" i="1"/>
  <c r="O464" i="1"/>
  <c r="N464" i="1"/>
  <c r="K464" i="1"/>
  <c r="K463" i="1"/>
  <c r="O462" i="1"/>
  <c r="N462" i="1"/>
  <c r="K462" i="1"/>
  <c r="K461" i="1"/>
  <c r="K460" i="1"/>
  <c r="O459" i="1"/>
  <c r="N459" i="1"/>
  <c r="K459" i="1"/>
  <c r="K475" i="1"/>
  <c r="O458" i="1"/>
  <c r="N458" i="1"/>
  <c r="K458" i="1"/>
  <c r="O457" i="1"/>
  <c r="N457" i="1"/>
  <c r="K457" i="1"/>
  <c r="M328" i="1"/>
  <c r="O327" i="1"/>
  <c r="N327" i="1"/>
  <c r="O326" i="1"/>
  <c r="N326" i="1"/>
  <c r="O325" i="1"/>
  <c r="N325" i="1"/>
  <c r="O324" i="1"/>
  <c r="N324" i="1"/>
  <c r="O323" i="1"/>
  <c r="N323" i="1"/>
  <c r="O322" i="1"/>
  <c r="N322" i="1"/>
  <c r="O321" i="1"/>
  <c r="N321" i="1"/>
  <c r="O320" i="1"/>
  <c r="N320" i="1"/>
  <c r="O319" i="1"/>
  <c r="N319" i="1"/>
  <c r="K319" i="1"/>
  <c r="O318" i="1"/>
  <c r="N318" i="1"/>
  <c r="K318" i="1"/>
  <c r="O317" i="1"/>
  <c r="N317" i="1"/>
  <c r="K317" i="1"/>
  <c r="O316" i="1"/>
  <c r="N316" i="1"/>
  <c r="K316" i="1"/>
  <c r="O223" i="1"/>
  <c r="N223" i="1"/>
  <c r="O221" i="1"/>
  <c r="N221" i="1"/>
  <c r="K221" i="1"/>
  <c r="O219" i="1"/>
  <c r="N219" i="1"/>
  <c r="K219" i="1"/>
  <c r="O217" i="1"/>
  <c r="N217" i="1"/>
  <c r="K217" i="1"/>
  <c r="O215" i="1"/>
  <c r="N215" i="1"/>
  <c r="K215" i="1"/>
  <c r="S231" i="1"/>
  <c r="R231" i="1"/>
  <c r="Q231" i="1"/>
  <c r="O231" i="1"/>
  <c r="N231" i="1"/>
  <c r="O230" i="1"/>
  <c r="N230" i="1"/>
  <c r="O229" i="1"/>
  <c r="N229" i="1"/>
  <c r="O228" i="1"/>
  <c r="N228" i="1"/>
  <c r="O227" i="1"/>
  <c r="N227" i="1"/>
  <c r="O226" i="1"/>
  <c r="N226" i="1"/>
  <c r="O225" i="1"/>
  <c r="N225" i="1"/>
  <c r="O224" i="1"/>
  <c r="N224" i="1"/>
  <c r="O222" i="1"/>
  <c r="N222" i="1"/>
  <c r="O220" i="1"/>
  <c r="N220" i="1"/>
  <c r="K220" i="1"/>
  <c r="O218" i="1"/>
  <c r="N218" i="1"/>
  <c r="K218" i="1"/>
  <c r="O216" i="1"/>
  <c r="N216" i="1"/>
  <c r="K216" i="1"/>
  <c r="O214" i="1"/>
  <c r="N214" i="1"/>
  <c r="K214" i="1"/>
  <c r="S202" i="1"/>
  <c r="R202" i="1"/>
  <c r="Q202" i="1"/>
  <c r="O202" i="1"/>
  <c r="N202" i="1"/>
  <c r="S201" i="1"/>
  <c r="R201" i="1"/>
  <c r="Q201" i="1"/>
  <c r="O201" i="1"/>
  <c r="N201" i="1"/>
  <c r="M201" i="1"/>
  <c r="O200" i="1"/>
  <c r="N200" i="1"/>
  <c r="O198" i="1"/>
  <c r="N198" i="1"/>
  <c r="O197" i="1"/>
  <c r="N197" i="1"/>
  <c r="O196" i="1"/>
  <c r="N196" i="1"/>
  <c r="O195" i="1"/>
  <c r="N195" i="1"/>
  <c r="O194" i="1"/>
  <c r="N194" i="1"/>
  <c r="O193" i="1"/>
  <c r="N193" i="1"/>
  <c r="O191" i="1"/>
  <c r="N191" i="1"/>
  <c r="O192" i="1"/>
  <c r="N192" i="1"/>
  <c r="O189" i="1"/>
  <c r="N189" i="1"/>
  <c r="O190" i="1"/>
  <c r="N190" i="1"/>
  <c r="O187" i="1"/>
  <c r="N187" i="1"/>
  <c r="O188" i="1"/>
  <c r="N188" i="1"/>
  <c r="O185" i="1"/>
  <c r="N185" i="1"/>
  <c r="O186" i="1"/>
  <c r="N186" i="1"/>
  <c r="O183" i="1"/>
  <c r="N183" i="1"/>
  <c r="K183" i="1"/>
  <c r="O184" i="1"/>
  <c r="N184" i="1"/>
  <c r="K184" i="1"/>
  <c r="O182" i="1"/>
  <c r="N182" i="1"/>
  <c r="K182" i="1"/>
  <c r="O181" i="1"/>
  <c r="N181" i="1"/>
  <c r="K181" i="1"/>
  <c r="O180" i="1"/>
  <c r="N180" i="1"/>
  <c r="K180" i="1"/>
  <c r="S167" i="1"/>
  <c r="R167" i="1"/>
  <c r="Q167" i="1"/>
  <c r="M167" i="1"/>
  <c r="O167" i="1" s="1"/>
  <c r="O158" i="1"/>
  <c r="N158" i="1"/>
  <c r="O149" i="1"/>
  <c r="N149" i="1"/>
  <c r="O140" i="1"/>
  <c r="N140" i="1"/>
  <c r="O131" i="1"/>
  <c r="N131" i="1"/>
  <c r="O122" i="1"/>
  <c r="N122" i="1"/>
  <c r="O114" i="1"/>
  <c r="N114" i="1"/>
  <c r="O106" i="1"/>
  <c r="N106" i="1"/>
  <c r="O98" i="1"/>
  <c r="N98" i="1"/>
  <c r="O90" i="1"/>
  <c r="N90" i="1"/>
  <c r="K90" i="1"/>
  <c r="O82" i="1"/>
  <c r="N82" i="1"/>
  <c r="K82" i="1"/>
  <c r="O74" i="1"/>
  <c r="N74" i="1"/>
  <c r="K74" i="1"/>
  <c r="O66" i="1"/>
  <c r="N66" i="1"/>
  <c r="K66" i="1"/>
  <c r="M166" i="1"/>
  <c r="N166" i="1" s="1"/>
  <c r="L166" i="1"/>
  <c r="O157" i="1"/>
  <c r="N157" i="1"/>
  <c r="O148" i="1"/>
  <c r="N148" i="1"/>
  <c r="O139" i="1"/>
  <c r="N139" i="1"/>
  <c r="O130" i="1"/>
  <c r="N130" i="1"/>
  <c r="O121" i="1"/>
  <c r="N121" i="1"/>
  <c r="O113" i="1"/>
  <c r="N113" i="1"/>
  <c r="O105" i="1"/>
  <c r="N105" i="1"/>
  <c r="O97" i="1"/>
  <c r="N97" i="1"/>
  <c r="O89" i="1"/>
  <c r="N89" i="1"/>
  <c r="K89" i="1"/>
  <c r="O81" i="1"/>
  <c r="N81" i="1"/>
  <c r="K81" i="1"/>
  <c r="O73" i="1"/>
  <c r="N73" i="1"/>
  <c r="K73" i="1"/>
  <c r="O65" i="1"/>
  <c r="N65" i="1"/>
  <c r="K65" i="1"/>
  <c r="M165" i="1"/>
  <c r="L165" i="1"/>
  <c r="O156" i="1"/>
  <c r="N156" i="1"/>
  <c r="O147" i="1"/>
  <c r="N147" i="1"/>
  <c r="O138" i="1"/>
  <c r="N138" i="1"/>
  <c r="O129" i="1"/>
  <c r="N129" i="1"/>
  <c r="O120" i="1"/>
  <c r="N120" i="1"/>
  <c r="O112" i="1"/>
  <c r="N112" i="1"/>
  <c r="O104" i="1"/>
  <c r="N104" i="1"/>
  <c r="O96" i="1"/>
  <c r="N96" i="1"/>
  <c r="O88" i="1"/>
  <c r="N88" i="1"/>
  <c r="K88" i="1"/>
  <c r="O80" i="1"/>
  <c r="N80" i="1"/>
  <c r="K80" i="1"/>
  <c r="O72" i="1"/>
  <c r="N72" i="1"/>
  <c r="K72" i="1"/>
  <c r="O64" i="1"/>
  <c r="N64" i="1"/>
  <c r="K64" i="1"/>
  <c r="M164" i="1"/>
  <c r="N164" i="1" s="1"/>
  <c r="L164" i="1"/>
  <c r="O155" i="1"/>
  <c r="N155" i="1"/>
  <c r="O146" i="1"/>
  <c r="N146" i="1"/>
  <c r="O137" i="1"/>
  <c r="N137" i="1"/>
  <c r="O128" i="1"/>
  <c r="N128" i="1"/>
  <c r="O119" i="1"/>
  <c r="N119" i="1"/>
  <c r="O111" i="1"/>
  <c r="N111" i="1"/>
  <c r="O103" i="1"/>
  <c r="N103" i="1"/>
  <c r="O95" i="1"/>
  <c r="N95" i="1"/>
  <c r="O87" i="1"/>
  <c r="N87" i="1"/>
  <c r="K87" i="1"/>
  <c r="O79" i="1"/>
  <c r="N79" i="1"/>
  <c r="K79" i="1"/>
  <c r="O71" i="1"/>
  <c r="N71" i="1"/>
  <c r="K71" i="1"/>
  <c r="O63" i="1"/>
  <c r="N63" i="1"/>
  <c r="K63" i="1"/>
  <c r="O163" i="1"/>
  <c r="N163" i="1"/>
  <c r="K163" i="1"/>
  <c r="O154" i="1"/>
  <c r="N154" i="1"/>
  <c r="K154" i="1"/>
  <c r="O145" i="1"/>
  <c r="N145" i="1"/>
  <c r="K145" i="1"/>
  <c r="O136" i="1"/>
  <c r="N136" i="1"/>
  <c r="K136" i="1"/>
  <c r="O127" i="1"/>
  <c r="N127" i="1"/>
  <c r="K127" i="1"/>
  <c r="S162" i="1"/>
  <c r="R162" i="1"/>
  <c r="Q162" i="1"/>
  <c r="O162" i="1"/>
  <c r="N162" i="1"/>
  <c r="K162" i="1"/>
  <c r="O153" i="1"/>
  <c r="N153" i="1"/>
  <c r="K153" i="1"/>
  <c r="O144" i="1"/>
  <c r="N144" i="1"/>
  <c r="K144" i="1"/>
  <c r="O135" i="1"/>
  <c r="N135" i="1"/>
  <c r="K135" i="1"/>
  <c r="O126" i="1"/>
  <c r="N126" i="1"/>
  <c r="K126" i="1"/>
  <c r="O118" i="1"/>
  <c r="N118" i="1"/>
  <c r="K118" i="1"/>
  <c r="O110" i="1"/>
  <c r="N110" i="1"/>
  <c r="K110" i="1"/>
  <c r="O102" i="1"/>
  <c r="N102" i="1"/>
  <c r="K102" i="1"/>
  <c r="O94" i="1"/>
  <c r="N94" i="1"/>
  <c r="K94" i="1"/>
  <c r="O86" i="1"/>
  <c r="N86" i="1"/>
  <c r="K86" i="1"/>
  <c r="O78" i="1"/>
  <c r="N78" i="1"/>
  <c r="K78" i="1"/>
  <c r="O70" i="1"/>
  <c r="N70" i="1"/>
  <c r="K70" i="1"/>
  <c r="O62" i="1"/>
  <c r="N62" i="1"/>
  <c r="K62" i="1"/>
  <c r="O161" i="1"/>
  <c r="N161" i="1"/>
  <c r="O152" i="1"/>
  <c r="N152" i="1"/>
  <c r="O143" i="1"/>
  <c r="N143" i="1"/>
  <c r="O134" i="1"/>
  <c r="N134" i="1"/>
  <c r="O125" i="1"/>
  <c r="N125" i="1"/>
  <c r="O117" i="1"/>
  <c r="N117" i="1"/>
  <c r="O109" i="1"/>
  <c r="N109" i="1"/>
  <c r="O101" i="1"/>
  <c r="N101" i="1"/>
  <c r="O93" i="1"/>
  <c r="N93" i="1"/>
  <c r="O85" i="1"/>
  <c r="N85" i="1"/>
  <c r="K85" i="1"/>
  <c r="O77" i="1"/>
  <c r="N77" i="1"/>
  <c r="K77" i="1"/>
  <c r="O69" i="1"/>
  <c r="N69" i="1"/>
  <c r="K69" i="1"/>
  <c r="O61" i="1"/>
  <c r="N61" i="1"/>
  <c r="K61" i="1"/>
  <c r="S160" i="1"/>
  <c r="R160" i="1"/>
  <c r="Q160" i="1"/>
  <c r="O160" i="1"/>
  <c r="N160" i="1"/>
  <c r="O151" i="1"/>
  <c r="N151" i="1"/>
  <c r="O142" i="1"/>
  <c r="N142" i="1"/>
  <c r="O133" i="1"/>
  <c r="N133" i="1"/>
  <c r="O124" i="1"/>
  <c r="N124" i="1"/>
  <c r="O116" i="1"/>
  <c r="N116" i="1"/>
  <c r="O108" i="1"/>
  <c r="N108" i="1"/>
  <c r="O100" i="1"/>
  <c r="N100" i="1"/>
  <c r="O92" i="1"/>
  <c r="N92" i="1"/>
  <c r="O84" i="1"/>
  <c r="N84" i="1"/>
  <c r="K84" i="1"/>
  <c r="O76" i="1"/>
  <c r="N76" i="1"/>
  <c r="K76" i="1"/>
  <c r="O68" i="1"/>
  <c r="N68" i="1"/>
  <c r="K68" i="1"/>
  <c r="O60" i="1"/>
  <c r="N60" i="1"/>
  <c r="K60" i="1"/>
  <c r="O159" i="1"/>
  <c r="N159" i="1"/>
  <c r="O150" i="1"/>
  <c r="N150" i="1"/>
  <c r="O141" i="1"/>
  <c r="N141" i="1"/>
  <c r="O132" i="1"/>
  <c r="N132" i="1"/>
  <c r="O123" i="1"/>
  <c r="N123" i="1"/>
  <c r="O115" i="1"/>
  <c r="N115" i="1"/>
  <c r="O107" i="1"/>
  <c r="N107" i="1"/>
  <c r="O99" i="1"/>
  <c r="N99" i="1"/>
  <c r="O91" i="1"/>
  <c r="N91" i="1"/>
  <c r="O83" i="1"/>
  <c r="N83" i="1"/>
  <c r="K83" i="1"/>
  <c r="O75" i="1"/>
  <c r="N75" i="1"/>
  <c r="K75" i="1"/>
  <c r="O67" i="1"/>
  <c r="N67" i="1"/>
  <c r="K67" i="1"/>
  <c r="O59" i="1"/>
  <c r="N59" i="1"/>
  <c r="K59" i="1"/>
  <c r="O791" i="1" l="1"/>
  <c r="N791" i="1"/>
  <c r="O208" i="1"/>
  <c r="N167" i="1"/>
  <c r="N328" i="1"/>
  <c r="O166" i="1"/>
  <c r="O328" i="1"/>
  <c r="O53" i="1"/>
  <c r="N53" i="1"/>
  <c r="O361" i="1"/>
  <c r="N361" i="1"/>
  <c r="N165" i="1"/>
  <c r="O165" i="1"/>
  <c r="O310" i="1"/>
  <c r="N310" i="1"/>
  <c r="O164" i="1"/>
  <c r="N392" i="1"/>
  <c r="O392" i="1"/>
  <c r="N452" i="1"/>
  <c r="O452" i="1"/>
  <c r="N539" i="1"/>
  <c r="O826" i="1"/>
  <c r="N454" i="1"/>
  <c r="O454" i="1"/>
  <c r="N261" i="1"/>
</calcChain>
</file>

<file path=xl/sharedStrings.xml><?xml version="1.0" encoding="utf-8"?>
<sst xmlns="http://schemas.openxmlformats.org/spreadsheetml/2006/main" count="3981" uniqueCount="171">
  <si>
    <t>Variety</t>
  </si>
  <si>
    <t>Clone</t>
  </si>
  <si>
    <t>Acre</t>
  </si>
  <si>
    <t>Tons</t>
  </si>
  <si>
    <t>Brix</t>
  </si>
  <si>
    <t>pH</t>
  </si>
  <si>
    <t>TA</t>
  </si>
  <si>
    <t>Chardonnay</t>
  </si>
  <si>
    <t>2.0x1.0</t>
  </si>
  <si>
    <t>UCD</t>
  </si>
  <si>
    <t>2.7x1.4</t>
  </si>
  <si>
    <t>mixed</t>
  </si>
  <si>
    <t>2.4x1.0</t>
  </si>
  <si>
    <t>2.1x1.0</t>
  </si>
  <si>
    <t>2.0x1.4</t>
  </si>
  <si>
    <t xml:space="preserve"> </t>
  </si>
  <si>
    <t>Chasselas</t>
  </si>
  <si>
    <t>75/83</t>
  </si>
  <si>
    <t>10 x 7</t>
  </si>
  <si>
    <t>22 &amp; 24 Oct</t>
  </si>
  <si>
    <t>Chenin Blanc</t>
  </si>
  <si>
    <t>94/89</t>
  </si>
  <si>
    <t>8x4.5</t>
  </si>
  <si>
    <t>Optima</t>
  </si>
  <si>
    <t>9x4.5</t>
  </si>
  <si>
    <t>Optima - BA</t>
  </si>
  <si>
    <t>Pinot Blanc</t>
  </si>
  <si>
    <t>2.1x1.4</t>
  </si>
  <si>
    <t>Riesling</t>
  </si>
  <si>
    <t>21B</t>
  </si>
  <si>
    <t>24 &amp; 25 Oct</t>
  </si>
  <si>
    <t>Ri - Ice Wine</t>
  </si>
  <si>
    <t>Ri - Late Har</t>
  </si>
  <si>
    <t>8.2x4.5</t>
  </si>
  <si>
    <t>2.1x1.1</t>
  </si>
  <si>
    <t>28 &amp; 30 Oct</t>
  </si>
  <si>
    <t>NY</t>
  </si>
  <si>
    <t>10x7</t>
  </si>
  <si>
    <t>Merlot</t>
  </si>
  <si>
    <t>mix</t>
  </si>
  <si>
    <t>8x4</t>
  </si>
  <si>
    <t>6.9x4.6</t>
  </si>
  <si>
    <t>26 &amp; 28 Oct</t>
  </si>
  <si>
    <t>Pinot Noir</t>
  </si>
  <si>
    <t>2.1x1.2</t>
  </si>
  <si>
    <t>6.6 x 3.3</t>
  </si>
  <si>
    <t>91R</t>
  </si>
  <si>
    <t>UCD2</t>
  </si>
  <si>
    <t>93R</t>
  </si>
  <si>
    <t>UCD1</t>
  </si>
  <si>
    <t>8x4.6</t>
  </si>
  <si>
    <t>8x4.7</t>
  </si>
  <si>
    <t>8x4.8</t>
  </si>
  <si>
    <t>8 x 4.5</t>
  </si>
  <si>
    <t>2.0x1.1</t>
  </si>
  <si>
    <t>Syrah</t>
  </si>
  <si>
    <t>Grand Total</t>
  </si>
  <si>
    <t>Semillon</t>
  </si>
  <si>
    <t>7'x11'</t>
  </si>
  <si>
    <t>78/79</t>
  </si>
  <si>
    <t>2.1x1.6</t>
  </si>
  <si>
    <t>2.9x1.4</t>
  </si>
  <si>
    <t>7.5'x4'</t>
  </si>
  <si>
    <t>47/643</t>
  </si>
  <si>
    <t>Ehrenfelser</t>
  </si>
  <si>
    <t>2.7x1.5</t>
  </si>
  <si>
    <t>3.3x1.5</t>
  </si>
  <si>
    <t>2.7x1.2</t>
  </si>
  <si>
    <t>15 &amp; 16 Oct</t>
  </si>
  <si>
    <t>11x5</t>
  </si>
  <si>
    <t>Gamay Noir</t>
  </si>
  <si>
    <t>284/509/656</t>
  </si>
  <si>
    <t xml:space="preserve">Pinot Gris </t>
  </si>
  <si>
    <t>Pinot Gris</t>
  </si>
  <si>
    <t>11 &amp; 12 Oct</t>
  </si>
  <si>
    <t>9' x 5'</t>
  </si>
  <si>
    <t>2.1 x 1.2</t>
  </si>
  <si>
    <t>26 &amp; 27 Oct</t>
  </si>
  <si>
    <t>Gewurztraminer</t>
  </si>
  <si>
    <t>11 &amp; 10 Oct</t>
  </si>
  <si>
    <t>Vintage</t>
  </si>
  <si>
    <t>Field</t>
  </si>
  <si>
    <t>Block</t>
  </si>
  <si>
    <t>Vine Spacing</t>
  </si>
  <si>
    <t>Vine No.</t>
  </si>
  <si>
    <t>Vines/Acre</t>
  </si>
  <si>
    <t>Bunch Weight (g)</t>
  </si>
  <si>
    <t>Tons/Acre</t>
  </si>
  <si>
    <t>lbs/Vine</t>
  </si>
  <si>
    <t>Harvest Date</t>
  </si>
  <si>
    <t>Vineyard</t>
  </si>
  <si>
    <t>QGV</t>
  </si>
  <si>
    <t>2.5x1.4</t>
  </si>
  <si>
    <t>2.5x1.5</t>
  </si>
  <si>
    <t>2.5x1.6</t>
  </si>
  <si>
    <t>2.5x1.7</t>
  </si>
  <si>
    <t>2.5x1.8</t>
  </si>
  <si>
    <t>MAN</t>
  </si>
  <si>
    <t>9x4.6</t>
  </si>
  <si>
    <t>Sauvignon Blanc</t>
  </si>
  <si>
    <t>Cabernet Franc</t>
  </si>
  <si>
    <t>Cabernet Sauvignon</t>
  </si>
  <si>
    <t>2.4x1.1</t>
  </si>
  <si>
    <t>2.4x1.2</t>
  </si>
  <si>
    <t>2.4x1.3</t>
  </si>
  <si>
    <t>2.4x1.4</t>
  </si>
  <si>
    <t>2.4x1.5</t>
  </si>
  <si>
    <t>2.4x1.6</t>
  </si>
  <si>
    <t>2.4x1.7</t>
  </si>
  <si>
    <t>2.4x1.8</t>
  </si>
  <si>
    <t>2.4x1.9</t>
  </si>
  <si>
    <t>2.4x1.10</t>
  </si>
  <si>
    <t>2.4x1.11</t>
  </si>
  <si>
    <t>2.4x1.12</t>
  </si>
  <si>
    <t>Marechal Foch</t>
  </si>
  <si>
    <t>OSO</t>
  </si>
  <si>
    <t>MCF</t>
  </si>
  <si>
    <t>PAT</t>
  </si>
  <si>
    <t>TUV</t>
  </si>
  <si>
    <t>DRV</t>
  </si>
  <si>
    <t>ARV</t>
  </si>
  <si>
    <t>LGV</t>
  </si>
  <si>
    <t>MRT</t>
  </si>
  <si>
    <t>1.2.4</t>
  </si>
  <si>
    <t>1,2,4</t>
  </si>
  <si>
    <t>DER</t>
  </si>
  <si>
    <t>HW3</t>
  </si>
  <si>
    <t>CUV</t>
  </si>
  <si>
    <t>NMV</t>
  </si>
  <si>
    <t>GRV</t>
  </si>
  <si>
    <t>VWV</t>
  </si>
  <si>
    <t>COY</t>
  </si>
  <si>
    <t>SWV</t>
  </si>
  <si>
    <t>3, 5</t>
  </si>
  <si>
    <t>CT</t>
  </si>
  <si>
    <t>NC</t>
  </si>
  <si>
    <t>1,2</t>
  </si>
  <si>
    <t>3,7</t>
  </si>
  <si>
    <t>Row Labels</t>
  </si>
  <si>
    <t>Sum of Tons</t>
  </si>
  <si>
    <t>Ri - Late Harvest</t>
  </si>
  <si>
    <t>Year Planted</t>
  </si>
  <si>
    <t>Planted</t>
  </si>
  <si>
    <t>Spacing</t>
  </si>
  <si>
    <t>Acres</t>
  </si>
  <si>
    <t>Vines</t>
  </si>
  <si>
    <t>Riesling - Icewine</t>
  </si>
  <si>
    <t>877C</t>
  </si>
  <si>
    <t>6.9x4.9</t>
  </si>
  <si>
    <t>6.9x3.6</t>
  </si>
  <si>
    <t>BFV</t>
  </si>
  <si>
    <t>37/95</t>
  </si>
  <si>
    <t>6.9x3.9</t>
  </si>
  <si>
    <t>1&amp;2</t>
  </si>
  <si>
    <t>8&amp;9</t>
  </si>
  <si>
    <t>Values</t>
  </si>
  <si>
    <t>Average of Brix</t>
  </si>
  <si>
    <t>Average of pH</t>
  </si>
  <si>
    <t>Average of TA</t>
  </si>
  <si>
    <t>(All)</t>
  </si>
  <si>
    <t>PEL</t>
  </si>
  <si>
    <t>9 oct, 2013</t>
  </si>
  <si>
    <t>SMV</t>
  </si>
  <si>
    <t>BTV</t>
  </si>
  <si>
    <t>1,2,3,4</t>
  </si>
  <si>
    <t>SHV</t>
  </si>
  <si>
    <t>Muller Thurgau</t>
  </si>
  <si>
    <t>CSV</t>
  </si>
  <si>
    <t>Chardonnay Musque</t>
  </si>
  <si>
    <t>(blank)</t>
  </si>
  <si>
    <t>Oct 22-14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</si>
</sst>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/0"/>
    <numFmt numFmtId="166" formatCode="\1\-\4"/>
  </numFmts>
  <fonts count="7" x14ac:knownFonts="1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3" fontId="2" fillId="0" borderId="0" xfId="0" applyNumberFormat="1" applyFont="1" applyFill="1" applyBorder="1" applyAlignment="1">
      <alignment horizontal="center"/>
    </xf>
    <xf numFmtId="16" fontId="2" fillId="0" borderId="0" xfId="0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>
      <alignment horizontal="center"/>
    </xf>
    <xf numFmtId="166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0" fontId="1" fillId="0" borderId="0" xfId="0" applyFont="1" applyFill="1" applyBorder="1" applyAlignment="1">
      <alignment horizontal="center" vertical="center" wrapText="1"/>
    </xf>
    <xf numFmtId="2" fontId="1" fillId="0" borderId="0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0" xfId="0" applyFont="1"/>
    <xf numFmtId="0" fontId="0" fillId="2" borderId="0" xfId="0" applyFill="1" applyAlignment="1">
      <alignment horizontal="left"/>
    </xf>
    <xf numFmtId="0" fontId="0" fillId="2" borderId="0" xfId="0" applyFill="1"/>
    <xf numFmtId="0" fontId="4" fillId="0" borderId="0" xfId="0" applyFont="1" applyAlignment="1">
      <alignment horizontal="center"/>
    </xf>
    <xf numFmtId="0" fontId="4" fillId="0" borderId="0" xfId="0" applyFont="1"/>
    <xf numFmtId="0" fontId="4" fillId="3" borderId="0" xfId="0" applyFont="1" applyFill="1" applyAlignment="1">
      <alignment horizontal="center"/>
    </xf>
    <xf numFmtId="15" fontId="2" fillId="0" borderId="0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 indent="1"/>
    </xf>
    <xf numFmtId="0" fontId="2" fillId="0" borderId="0" xfId="0" applyNumberFormat="1" applyFont="1" applyFill="1" applyBorder="1" applyAlignment="1">
      <alignment horizontal="center"/>
    </xf>
    <xf numFmtId="164" fontId="0" fillId="0" borderId="0" xfId="0" applyNumberFormat="1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15" fontId="2" fillId="0" borderId="0" xfId="0" applyNumberFormat="1" applyFont="1" applyFill="1" applyBorder="1"/>
  </cellXfs>
  <cellStyles count="1">
    <cellStyle name="Normal" xfId="0" builtinId="0"/>
  </cellStyles>
  <dxfs count="4">
    <dxf>
      <numFmt numFmtId="2" formatCode="0.00"/>
    </dxf>
    <dxf>
      <numFmt numFmtId="164" formatCode="0.0"/>
    </dxf>
    <dxf>
      <numFmt numFmtId="164" formatCode="0.0"/>
    </dxf>
    <dxf>
      <numFmt numFmtId="164" formatCode="0.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156482</xdr:colOff>
      <xdr:row>139</xdr:row>
      <xdr:rowOff>136071</xdr:rowOff>
    </xdr:from>
    <xdr:ext cx="173345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671457" y="22786521"/>
          <a:ext cx="17334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CA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0</xdr:row>
          <xdr:rowOff>57150</xdr:rowOff>
        </xdr:from>
        <xdr:to>
          <xdr:col>22</xdr:col>
          <xdr:colOff>304800</xdr:colOff>
          <xdr:row>0</xdr:row>
          <xdr:rowOff>628650</xdr:rowOff>
        </xdr:to>
        <xdr:sp macro="" textlink="">
          <xdr:nvSpPr>
            <xdr:cNvPr id="2049" name="cmdOpenFor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" refreshedDate="41318.446647337965" createdVersion="3" refreshedVersion="3" minRefreshableVersion="3" recordCount="975" xr:uid="{00000000-000A-0000-FFFF-FFFF03000000}">
  <cacheSource type="worksheet">
    <worksheetSource ref="A1:S1048576" sheet="Harvest Data"/>
  </cacheSource>
  <cacheFields count="19">
    <cacheField name="Vintage" numFmtId="0">
      <sharedItems containsBlank="1" containsMixedTypes="1" containsNumber="1" containsInteger="1" minValue="2000" maxValue="2012" count="15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m/>
        <s v=" "/>
      </sharedItems>
    </cacheField>
    <cacheField name="Vineyard" numFmtId="0">
      <sharedItems containsBlank="1" count="19">
        <s v="QGV"/>
        <m/>
        <s v="OSO"/>
        <s v="MCF"/>
        <s v="PAT"/>
        <s v="TUV"/>
        <s v="MAN"/>
        <s v="DRV"/>
        <s v="ARV"/>
        <s v="LGV"/>
        <s v="MRT"/>
        <s v="DER"/>
        <s v="HW3"/>
        <s v="CUV"/>
        <s v="NMV"/>
        <s v="GRV"/>
        <s v="VWV"/>
        <s v="COY"/>
        <s v="SWV"/>
      </sharedItems>
    </cacheField>
    <cacheField name="Field" numFmtId="0">
      <sharedItems containsBlank="1" containsMixedTypes="1" containsNumber="1" containsInteger="1" minValue="1" maxValue="6" count="10">
        <n v="1"/>
        <m/>
        <n v="2"/>
        <n v="3"/>
        <n v="4"/>
        <n v="5"/>
        <s v="1,2"/>
        <n v="6"/>
        <s v="CT"/>
        <s v="NC"/>
      </sharedItems>
    </cacheField>
    <cacheField name="Block" numFmtId="0">
      <sharedItems containsBlank="1" containsMixedTypes="1" containsNumber="1" minValue="0.5" maxValue="39539" count="20">
        <n v="2"/>
        <m/>
        <n v="4"/>
        <n v="5"/>
        <n v="1"/>
        <n v="3"/>
        <s v="3,7"/>
        <n v="7"/>
        <n v="6"/>
        <n v="0.88888888888888884"/>
        <n v="9"/>
        <n v="8"/>
        <n v="0.5"/>
        <n v="10"/>
        <n v="11"/>
        <n v="39539"/>
        <s v="1.2.4"/>
        <s v="1,2,4"/>
        <s v="3, 5"/>
        <s v="Grand Total"/>
      </sharedItems>
    </cacheField>
    <cacheField name="Variety" numFmtId="0">
      <sharedItems containsBlank="1" count="23">
        <s v="Chardonnay"/>
        <m/>
        <s v="Chasselas"/>
        <s v="Chenin Blanc"/>
        <s v="Gewurztraminer"/>
        <s v="Optima"/>
        <s v="Optima - BA"/>
        <s v="Pinot Blanc"/>
        <s v="Riesling"/>
        <s v="Ri - Ice Wine"/>
        <s v="Ri - Late Har"/>
        <s v="Sauvignon Blanc"/>
        <s v="Cabernet Franc"/>
        <s v="Cabernet Sauvignon"/>
        <s v="Marechal Foch"/>
        <s v="Gamay Noir"/>
        <s v="Merlot"/>
        <s v="Pinot Noir"/>
        <s v="Syrah"/>
        <s v="Semillon"/>
        <s v="Ehrenfelser"/>
        <s v="Pinot Gris "/>
        <s v="Pinot Gris"/>
      </sharedItems>
    </cacheField>
    <cacheField name="Clone" numFmtId="0">
      <sharedItems containsBlank="1" containsMixedTypes="1" containsNumber="1" containsInteger="1" minValue="6" maxValue="7114"/>
    </cacheField>
    <cacheField name="Yeat Planted" numFmtId="0">
      <sharedItems containsBlank="1" containsMixedTypes="1" containsNumber="1" containsInteger="1" minValue="1965" maxValue="2011"/>
    </cacheField>
    <cacheField name="Vine Spacing" numFmtId="0">
      <sharedItems containsBlank="1"/>
    </cacheField>
    <cacheField name="Acre" numFmtId="0">
      <sharedItems containsBlank="1" containsMixedTypes="1" containsNumber="1" minValue="0" maxValue="44.64"/>
    </cacheField>
    <cacheField name="Vine No." numFmtId="0">
      <sharedItems containsString="0" containsBlank="1" containsNumber="1" containsInteger="1" minValue="208" maxValue="17000"/>
    </cacheField>
    <cacheField name="Vines/Acre" numFmtId="0">
      <sharedItems containsString="0" containsBlank="1" containsNumber="1" minValue="343.75" maxValue="2190"/>
    </cacheField>
    <cacheField name="Bunch Weight (g)" numFmtId="0">
      <sharedItems containsBlank="1" containsMixedTypes="1" containsNumber="1" minValue="35" maxValue="488"/>
    </cacheField>
    <cacheField name="Tons" numFmtId="0">
      <sharedItems containsString="0" containsBlank="1" containsNumber="1" minValue="0" maxValue="205.24" count="503">
        <n v="10.124000000000001"/>
        <n v="11.378500000000001"/>
        <n v="8.82"/>
        <n v="6.9"/>
        <n v="8.75"/>
        <n v="2"/>
        <n v="10.7"/>
        <n v="5.6"/>
        <n v="9.8000000000000007"/>
        <n v="6.4"/>
        <n v="3.7"/>
        <n v="4.51"/>
        <n v="4.2699999999999996"/>
        <m/>
        <n v="8.2370000000000001"/>
        <n v="8.4405000000000001"/>
        <n v="12"/>
        <n v="12.3"/>
        <n v="17.8"/>
        <n v="12.4"/>
        <n v="16"/>
        <n v="10.3"/>
        <n v="15.9"/>
        <n v="12.2"/>
        <n v="15.8"/>
        <n v="10.59"/>
        <n v="16.329999999999998"/>
        <n v="4.16"/>
        <n v="4.0545"/>
        <n v="3.95"/>
        <n v="4.3"/>
        <n v="5.2"/>
        <n v="5"/>
        <n v="6.2"/>
        <n v="5.5"/>
        <n v="8.5404999999999998"/>
        <n v="13.7675"/>
        <n v="12.75"/>
        <n v="10.8"/>
        <n v="17.600000000000001"/>
        <n v="22.9"/>
        <n v="22.6"/>
        <n v="11.7"/>
        <n v="10.9"/>
        <n v="16.63"/>
        <n v="11.06"/>
        <n v="0"/>
        <n v="6.5"/>
        <n v="11"/>
        <n v="10.37"/>
        <n v="11.1"/>
        <n v="9.6159999999999997"/>
        <n v="9.8789999999999996"/>
        <n v="11.53"/>
        <n v="8.5"/>
        <n v="14.3"/>
        <n v="11.4"/>
        <n v="15.3"/>
        <n v="13.3"/>
        <n v="10.4"/>
        <n v="9.6300000000000008"/>
        <n v="8.370000000000001"/>
        <n v="11.6965"/>
        <n v="10.526999999999999"/>
        <n v="10.01"/>
        <n v="8"/>
        <n v="13.1"/>
        <n v="11.8"/>
        <n v="14.8"/>
        <n v="14.1"/>
        <n v="13.2"/>
        <n v="9.1999999999999993"/>
        <n v="10.199999999999999"/>
        <n v="9.6999999999999993"/>
        <n v="10.08"/>
        <n v="9.3339999999999996"/>
        <n v="9.7509999999999994"/>
        <n v="7.66"/>
        <n v="8.14"/>
        <n v="10"/>
        <n v="10.6"/>
        <n v="13.9"/>
        <n v="7.5"/>
        <n v="7.89"/>
        <n v="2.9664999999999999"/>
        <n v="2.6315"/>
        <n v="4.88"/>
        <n v="5.0999999999999996"/>
        <n v="3.2"/>
        <n v="7.6"/>
        <n v="6.3"/>
        <n v="4.9000000000000004"/>
        <n v="4.5"/>
        <n v="4.6399999999999997"/>
        <n v="3.28"/>
        <n v="37.24"/>
        <n v="46.06"/>
        <n v="35.64"/>
        <n v="31.7"/>
        <n v="26.5"/>
        <n v="36.700000000000003"/>
        <n v="58.7"/>
        <n v="38"/>
        <n v="37.299999999999997"/>
        <n v="29.8"/>
        <n v="25.66"/>
        <n v="39.44"/>
        <n v="13.89"/>
        <n v="18.3"/>
        <n v="13.4"/>
        <n v="17.5"/>
        <n v="23.9"/>
        <n v="19.7"/>
        <n v="16.8"/>
        <n v="14.7"/>
        <n v="12.16"/>
        <n v="17.25"/>
        <n v="21.42"/>
        <n v="23.603000000000002"/>
        <n v="24.3"/>
        <n v="27.2"/>
        <n v="35.1"/>
        <n v="35.6"/>
        <n v="35.799999999999997"/>
        <n v="26.8"/>
        <n v="28.8"/>
        <n v="21.3"/>
        <n v="22.84"/>
        <n v="8.2125000000000004"/>
        <n v="6.13"/>
        <n v="4.34"/>
        <n v="4.4400000000000004"/>
        <n v="6.8"/>
        <n v="9.48"/>
        <n v="6.36"/>
        <n v="5.43"/>
        <n v="12.5"/>
        <n v="7.3"/>
        <n v="13.6"/>
        <n v="8.3000000000000007"/>
        <n v="7.29"/>
        <n v="6.45"/>
        <n v="6.87"/>
        <n v="5.31"/>
        <n v="10.47"/>
        <n v="14.6"/>
        <n v="3.8"/>
        <n v="9.5"/>
        <n v="5.95"/>
        <n v="13.86"/>
        <n v="11.3"/>
        <n v="8.23"/>
        <n v="7"/>
        <n v="2.62"/>
        <n v="18.91"/>
        <n v="14.4"/>
        <n v="17.89"/>
        <n v="20.100000000000001"/>
        <n v="21"/>
        <n v="32.700000000000003"/>
        <n v="4.0999999999999996"/>
        <n v="28.4"/>
        <n v="11.2"/>
        <n v="17.399999999999999"/>
        <n v="8.6199999999999992"/>
        <n v="20.27"/>
        <n v="12.36"/>
        <n v="11.34"/>
        <n v="33"/>
        <n v="37.700000000000003"/>
        <n v="30.85"/>
        <n v="32.4"/>
        <n v="28.5"/>
        <n v="23.1"/>
        <n v="19.649999999999999"/>
        <n v="21.75"/>
        <n v="13.246"/>
        <n v="12.63"/>
        <n v="9.6"/>
        <n v="11.5"/>
        <n v="14"/>
        <n v="11.9"/>
        <n v="27.99"/>
        <n v="3.9"/>
        <n v="4"/>
        <n v="3.4"/>
        <n v="16.3"/>
        <n v="1.9"/>
        <n v="4.5999999999999996"/>
        <n v="1.25"/>
        <n v="12.27"/>
        <n v="9.59"/>
        <n v="9.3000000000000007"/>
        <n v="18"/>
        <n v="2.7635000000000001"/>
        <n v="1.77"/>
        <n v="2.97"/>
        <n v="3.6"/>
        <n v="3.0139999999999998"/>
        <n v="2.8975"/>
        <n v="5.46"/>
        <n v="6.6"/>
        <n v="4.2"/>
        <n v="5.3"/>
        <n v="8.1999999999999993"/>
        <n v="6.1"/>
        <n v="3.96"/>
        <n v="3.94"/>
        <n v="0.96899999999999997"/>
        <n v="0.47149999999999997"/>
        <n v="1"/>
        <n v="0.86"/>
        <n v="0.3"/>
        <n v="0.68149999999999999"/>
        <n v="0.44550000000000001"/>
        <n v="0.56999999999999995"/>
        <n v="1.1000000000000001"/>
        <n v="0.7"/>
        <n v="1.2"/>
        <n v="0.9"/>
        <n v="0.5"/>
        <n v="0.36"/>
        <n v="0.33"/>
        <n v="0.23"/>
        <n v="9.9"/>
        <n v="7.8"/>
        <n v="8.2099999999999991"/>
        <n v="3.7545000000000002"/>
        <n v="4.5815000000000001"/>
        <n v="2.96"/>
        <n v="4.7"/>
        <n v="5.9"/>
        <n v="5.7"/>
        <n v="4.8"/>
        <n v="4.07"/>
        <n v="5.67"/>
        <n v="2.7965"/>
        <n v="2.9655"/>
        <n v="3.08"/>
        <n v="3.5"/>
        <n v="6"/>
        <n v="6.7"/>
        <n v="4.4000000000000004"/>
        <n v="4.5199999999999996"/>
        <n v="4.3734999999999999"/>
        <n v="3.48"/>
        <n v="3.03"/>
        <n v="2.14"/>
        <n v="2.8"/>
        <n v="3.3"/>
        <n v="8.4"/>
        <n v="5.28"/>
        <n v="4.21"/>
        <n v="8.5694999999999997"/>
        <n v="3.91"/>
        <n v="4.84"/>
        <n v="5.8"/>
        <n v="3.98"/>
        <n v="4.01"/>
        <n v="9.8800000000000008"/>
        <n v="2.9039999999999999"/>
        <n v="3.61"/>
        <n v="2.86"/>
        <n v="2.1"/>
        <n v="1.4"/>
        <n v="7.7"/>
        <n v="9.89"/>
        <n v="12.77"/>
        <n v="8.68"/>
        <n v="16.100000000000001"/>
        <n v="2.1949999999999998"/>
        <n v="3.63"/>
        <n v="2.9"/>
        <n v="1.7"/>
        <n v="2.7"/>
        <n v="2.41"/>
        <n v="3.53"/>
        <n v="5.9219999999999997"/>
        <n v="10.88"/>
        <n v="9.51"/>
        <n v="17.2"/>
        <n v="25.7"/>
        <n v="8.9"/>
        <n v="12.9"/>
        <n v="9.82"/>
        <n v="13.07"/>
        <n v="4.2694999999999999"/>
        <n v="8.5500000000000007"/>
        <n v="9.56"/>
        <n v="15"/>
        <n v="21.7"/>
        <n v="10.1"/>
        <n v="6.62"/>
        <n v="10.54"/>
        <n v="3.649"/>
        <n v="4.03"/>
        <n v="3.37"/>
        <n v="3.02"/>
        <n v="5.83"/>
        <n v="2.2000000000000002"/>
        <n v="3.01"/>
        <n v="2.16"/>
        <n v="9.4"/>
        <n v="21.2"/>
        <n v="18.8"/>
        <n v="15.7"/>
        <n v="15.2"/>
        <n v="19.260000000000002"/>
        <n v="2.4"/>
        <n v="8.33"/>
        <n v="6.63"/>
        <n v="7.9065000000000003"/>
        <n v="11.07"/>
        <n v="10.72"/>
        <n v="10.62"/>
        <n v="13"/>
        <n v="12.52"/>
        <n v="4.2885"/>
        <n v="3.3605"/>
        <n v="2.85"/>
        <n v="2.6"/>
        <n v="2.2999999999999998"/>
        <n v="3.69"/>
        <n v="3.15"/>
        <n v="1.49"/>
        <n v="1.8"/>
        <n v="1.19"/>
        <n v="3"/>
        <n v="1.3"/>
        <n v="1.42"/>
        <n v="1.54"/>
        <n v="4.032"/>
        <n v="2.12"/>
        <n v="2.08"/>
        <n v="2.42"/>
        <n v="2.0895000000000001"/>
        <n v="0.52749999999999997"/>
        <n v="0.48"/>
        <n v="1.67"/>
        <n v="1.042"/>
        <n v="0.25"/>
        <n v="4.45"/>
        <n v="15.029500000000001"/>
        <n v="10.119999999999999"/>
        <n v="9.44"/>
        <n v="16.399999999999999"/>
        <n v="7.81"/>
        <n v="9.2899999999999991"/>
        <n v="2.4300000000000002"/>
        <n v="1.91"/>
        <n v="5.29"/>
        <n v="5.21"/>
        <n v="5.4"/>
        <n v="7.12"/>
        <n v="7.09"/>
        <n v="7.0225"/>
        <n v="5.6050000000000004"/>
        <n v="7.4"/>
        <n v="7.2"/>
        <n v="6.53"/>
        <n v="5.01"/>
        <n v="8.8000000000000007"/>
        <n v="5.26"/>
        <n v="4.2300000000000004"/>
        <n v="2.3845000000000001"/>
        <n v="5.58"/>
        <n v="4.76"/>
        <n v="4.17"/>
        <n v="5.0324999999999998"/>
        <n v="6.09"/>
        <n v="8.17"/>
        <n v="0.72450000000000003"/>
        <n v="0.99"/>
        <n v="1.18"/>
        <n v="0.6"/>
        <n v="0.8"/>
        <n v="31.162500000000001"/>
        <n v="37.201999999999998"/>
        <n v="25.03"/>
        <n v="38.299999999999997"/>
        <n v="39.200000000000003"/>
        <n v="41.9"/>
        <n v="38.1"/>
        <n v="3.09"/>
        <n v="3.06"/>
        <n v="15.5"/>
        <n v="13.22"/>
        <n v="13.54"/>
        <n v="41.8"/>
        <n v="29.7"/>
        <n v="80.67"/>
        <n v="47.87"/>
        <n v="2.7650000000000001"/>
        <n v="14.525499999999999"/>
        <n v="12.17"/>
        <n v="10.5"/>
        <n v="9.1"/>
        <n v="18.899999999999999"/>
        <n v="13.7"/>
        <n v="1.6"/>
        <n v="4.9610000000000003"/>
        <n v="10.240500000000001"/>
        <n v="14.48"/>
        <n v="12.7"/>
        <n v="0.35"/>
        <n v="28.9"/>
        <n v="15.55"/>
        <n v="36.799999999999997"/>
        <n v="21.9"/>
        <n v="12.007"/>
        <n v="8.49"/>
        <n v="8.1"/>
        <n v="8.81"/>
        <n v="7.91"/>
        <n v="5.66"/>
        <n v="3.25"/>
        <n v="3.1"/>
        <n v="3.36"/>
        <n v="4.6500000000000004"/>
        <n v="4.24"/>
        <n v="3.17"/>
        <n v="0.4"/>
        <n v="19.5"/>
        <n v="19.45"/>
        <n v="40.79"/>
        <n v="22.7"/>
        <n v="34"/>
        <n v="26.24"/>
        <n v="38.120000000000005"/>
        <n v="1.5"/>
        <n v="8.1199999999999992"/>
        <n v="1.96"/>
        <n v="8.48"/>
        <n v="1.1200000000000001"/>
        <n v="5.04"/>
        <n v="8.6"/>
        <n v="4.18"/>
        <n v="5.68"/>
        <n v="0.66"/>
        <n v="0.2"/>
        <n v="0.18"/>
        <n v="7.83"/>
        <n v="14.494999999999999"/>
        <n v="4.0490000000000004"/>
        <n v="2.09"/>
        <n v="18.399999999999999"/>
        <n v="54.7"/>
        <n v="96.6"/>
        <n v="51"/>
        <n v="47.5"/>
        <n v="63.69"/>
        <n v="63.84"/>
        <n v="26"/>
        <n v="36.6"/>
        <n v="24"/>
        <n v="20.5"/>
        <n v="17.899999999999999"/>
        <n v="18.170000000000002"/>
        <n v="29.23"/>
        <n v="22.2"/>
        <n v="13.71"/>
        <n v="17.29"/>
        <n v="16.05"/>
        <n v="12.81"/>
        <n v="11.41"/>
        <n v="34.799999999999997"/>
        <n v="28.04"/>
        <n v="23.04"/>
        <n v="5.84"/>
        <n v="5.89"/>
        <n v="16.2"/>
        <n v="13.5"/>
        <n v="17"/>
        <n v="11.6"/>
        <n v="6.76"/>
        <n v="10.92"/>
        <n v="38.869999999999997"/>
        <n v="36.43"/>
        <n v="32.64"/>
        <n v="41.010000000000005"/>
        <n v="6.48"/>
        <n v="7.84"/>
        <n v="6.26"/>
        <n v="1.94"/>
        <n v="5.74"/>
        <n v="5.44"/>
        <n v="11.82"/>
        <n v="8.24"/>
        <n v="5.86"/>
        <n v="29.9"/>
        <n v="30.08"/>
        <n v="40.35"/>
        <n v="31.39"/>
        <n v="28.38"/>
        <n v="6.83"/>
        <n v="160.19800000000001"/>
        <n v="188.0095"/>
        <n v="156.26"/>
        <n v="205.24"/>
        <n v="174.9"/>
        <n v="113.56"/>
        <n v="143.69999999999999"/>
        <n v="91.9"/>
      </sharedItems>
    </cacheField>
    <cacheField name="Tons/Acre" numFmtId="0">
      <sharedItems containsBlank="1" containsMixedTypes="1" containsNumber="1" minValue="0" maxValue="403.34999999999997"/>
    </cacheField>
    <cacheField name="lbs/Vine" numFmtId="0">
      <sharedItems containsBlank="1" containsMixedTypes="1" containsNumber="1" minValue="0" maxValue="537.79999999999995"/>
    </cacheField>
    <cacheField name="Harvest Date" numFmtId="0">
      <sharedItems containsDate="1" containsBlank="1" containsMixedTypes="1" minDate="1900-01-23T19:12:00" maxDate="2013-01-13T00:00:00"/>
    </cacheField>
    <cacheField name="Brix" numFmtId="0">
      <sharedItems containsBlank="1" containsMixedTypes="1" containsNumber="1" minValue="15.2" maxValue="48.2" count="115">
        <n v="25.4"/>
        <n v="23.8"/>
        <n v="24.8"/>
        <n v="25.2"/>
        <n v="23.4"/>
        <n v="24"/>
        <n v="23"/>
        <n v="26"/>
        <n v="26.8"/>
        <n v="24.4"/>
        <m/>
        <n v="22.1"/>
        <n v="23.6"/>
        <n v="22"/>
        <n v="22.4"/>
        <n v="21"/>
        <n v="24.1"/>
        <n v="20.2"/>
        <n v="20.666666666666668"/>
        <n v="22.2"/>
        <n v="21.8"/>
        <n v="23.2"/>
        <n v="24.2"/>
        <n v="25"/>
        <n v="21.2"/>
        <n v="23.1"/>
        <n v="24.6"/>
        <n v="22.6"/>
        <n v="22.8"/>
        <n v="22.5"/>
        <n v="23.5"/>
        <n v="21.4"/>
        <n v="15.6"/>
        <n v="15.2"/>
        <n v="19.100000000000001"/>
        <n v="20"/>
        <n v="18.8"/>
        <n v="20.5"/>
        <n v="17.600000000000001"/>
        <n v="17"/>
        <n v="20.8"/>
        <n v="19.399999999999999"/>
        <n v="19.05"/>
        <n v="18.600000000000001"/>
        <n v="19"/>
        <n v="18.899999999999999"/>
        <n v="19.600000000000001"/>
        <n v="21.6"/>
        <n v="21.533333333333335"/>
        <n v="21.5"/>
        <n v="36"/>
        <n v="34.4"/>
        <n v="32.799999999999997"/>
        <n v="29.2"/>
        <n v="32"/>
        <n v="31.2"/>
        <n v="34"/>
        <n v="27.1"/>
        <n v="28.2"/>
        <n v="40"/>
        <n v="46"/>
        <n v="35.6"/>
        <n v="19.2"/>
        <n v="25.8"/>
        <n v="43.8"/>
        <n v="29"/>
        <n v="37"/>
        <n v="44"/>
        <n v="43.2"/>
        <n v="42"/>
        <n v="48.2"/>
        <n v="22.3"/>
        <n v="20.3"/>
        <n v="21.9"/>
        <n v="22.9"/>
        <n v="26.6"/>
        <s v=" "/>
        <n v="22.799999999999997"/>
        <n v="24.5"/>
        <n v="26.2"/>
        <n v="27.6"/>
        <n v="27.4"/>
        <n v="28"/>
        <n v="29.4"/>
        <n v="30"/>
        <n v="27.8"/>
        <n v="25.6"/>
        <n v="27"/>
        <n v="18.399999999999999"/>
        <n v="24.133333333333336"/>
        <n v="23.7"/>
        <n v="26.4"/>
        <n v="27.2"/>
        <n v="24.666666666666668"/>
        <n v="24.3"/>
        <n v="23.3"/>
        <n v="26.9"/>
        <n v="25.299999999999997"/>
        <n v="20.6"/>
        <n v="19.8"/>
        <n v="26.550000000000004"/>
        <n v="18"/>
        <n v="16.8"/>
        <n v="16.839999999999996"/>
        <n v="18.2"/>
        <n v="19.95"/>
        <n v="22.7"/>
        <n v="21.1"/>
        <n v="22.839999999999996"/>
        <n v="22.466666666666669"/>
        <n v="21.25"/>
        <n v="20.350000000000001"/>
        <n v="22.516666666666666"/>
        <n v="21.066666666666666"/>
        <n v="20.100000000000001"/>
      </sharedItems>
    </cacheField>
    <cacheField name="pH" numFmtId="0">
      <sharedItems containsBlank="1" containsMixedTypes="1" containsNumber="1" minValue="2.66" maxValue="9.56"/>
    </cacheField>
    <cacheField name="TA" numFmtId="0">
      <sharedItems containsBlank="1" containsMixedTypes="1" containsNumber="1" minValue="3.28" maxValue="17.8999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75">
  <r>
    <x v="0"/>
    <x v="0"/>
    <x v="0"/>
    <x v="0"/>
    <x v="0"/>
    <n v="548"/>
    <n v="1996"/>
    <s v="2.0x1.0"/>
    <n v="1.98"/>
    <n v="4000"/>
    <n v="2020.2020202020203"/>
    <n v="128"/>
    <x v="0"/>
    <n v="5.1131313131313139"/>
    <n v="5.0620000000000003"/>
    <d v="2001-10-23T00:00:00"/>
    <x v="0"/>
    <n v="2.98"/>
    <n v="14.4"/>
  </r>
  <r>
    <x v="1"/>
    <x v="0"/>
    <x v="0"/>
    <x v="0"/>
    <x v="0"/>
    <n v="548"/>
    <n v="1996"/>
    <s v="2.0x1.0"/>
    <n v="1.98"/>
    <n v="4000"/>
    <n v="2020.2020202020203"/>
    <n v="185"/>
    <x v="1"/>
    <n v="5.7467171717171723"/>
    <n v="5.6892500000000004"/>
    <d v="2001-10-19T00:00:00"/>
    <x v="1"/>
    <n v="3.13"/>
    <n v="11.7"/>
  </r>
  <r>
    <x v="2"/>
    <x v="0"/>
    <x v="0"/>
    <x v="0"/>
    <x v="0"/>
    <n v="548"/>
    <n v="1996"/>
    <s v="2.0x1.0"/>
    <n v="1.98"/>
    <n v="4000"/>
    <n v="2020.2020202020203"/>
    <n v="145"/>
    <x v="2"/>
    <n v="4.454545454545455"/>
    <n v="4.41"/>
    <d v="2002-10-01T00:00:00"/>
    <x v="2"/>
    <n v="3.31"/>
    <n v="8.6"/>
  </r>
  <r>
    <x v="3"/>
    <x v="0"/>
    <x v="0"/>
    <x v="0"/>
    <x v="0"/>
    <n v="548"/>
    <n v="1996"/>
    <s v="2.0x1.0"/>
    <n v="1.98"/>
    <n v="4000"/>
    <n v="2020.2020202020203"/>
    <n v="145"/>
    <x v="3"/>
    <n v="3.4848484848484849"/>
    <n v="3.45"/>
    <d v="2003-09-30T00:00:00"/>
    <x v="3"/>
    <n v="3.44"/>
    <n v="6.3"/>
  </r>
  <r>
    <x v="4"/>
    <x v="0"/>
    <x v="0"/>
    <x v="0"/>
    <x v="0"/>
    <n v="548"/>
    <n v="1996"/>
    <s v="2.0x1.0"/>
    <n v="1.98"/>
    <n v="4000"/>
    <n v="2020"/>
    <n v="190"/>
    <x v="4"/>
    <n v="4.4191919191919196"/>
    <n v="4.375"/>
    <d v="2004-10-08T00:00:00"/>
    <x v="4"/>
    <n v="3.51"/>
    <n v="7.7"/>
  </r>
  <r>
    <x v="5"/>
    <x v="0"/>
    <x v="0"/>
    <x v="0"/>
    <x v="0"/>
    <n v="548"/>
    <n v="1996"/>
    <s v="2.0x1.0"/>
    <n v="1.98"/>
    <n v="4000"/>
    <n v="2020"/>
    <n v="120"/>
    <x v="5"/>
    <n v="1.0101010101010102"/>
    <n v="1"/>
    <d v="2005-10-04T00:00:00"/>
    <x v="5"/>
    <n v="3.29"/>
    <n v="9.1999999999999993"/>
  </r>
  <r>
    <x v="6"/>
    <x v="0"/>
    <x v="0"/>
    <x v="0"/>
    <x v="0"/>
    <n v="548"/>
    <n v="1996"/>
    <s v="2.0x1.0"/>
    <n v="1.98"/>
    <n v="4000"/>
    <n v="2020"/>
    <n v="145"/>
    <x v="6"/>
    <n v="5.404040404040404"/>
    <n v="5.35"/>
    <d v="2006-10-03T00:00:00"/>
    <x v="6"/>
    <n v="3.33"/>
    <n v="9.3000000000000007"/>
  </r>
  <r>
    <x v="7"/>
    <x v="0"/>
    <x v="0"/>
    <x v="0"/>
    <x v="0"/>
    <n v="548"/>
    <n v="1996"/>
    <s v="2.0x1.0"/>
    <n v="1.98"/>
    <n v="4000"/>
    <n v="2020"/>
    <n v="140"/>
    <x v="7"/>
    <n v="2.8282828282828283"/>
    <n v="2.8"/>
    <d v="2007-10-03T00:00:00"/>
    <x v="7"/>
    <n v="3.29"/>
    <n v="9.8000000000000007"/>
  </r>
  <r>
    <x v="8"/>
    <x v="0"/>
    <x v="0"/>
    <x v="0"/>
    <x v="0"/>
    <n v="548"/>
    <n v="1996"/>
    <s v="2.0x1.0"/>
    <n v="1.82"/>
    <n v="4000"/>
    <n v="2020"/>
    <n v="157"/>
    <x v="8"/>
    <n v="5.384615384615385"/>
    <n v="4.9000000000000004"/>
    <d v="2007-10-03T00:00:00"/>
    <x v="1"/>
    <n v="3.35"/>
    <n v="5.0999999999999996"/>
  </r>
  <r>
    <x v="9"/>
    <x v="0"/>
    <x v="0"/>
    <x v="0"/>
    <x v="0"/>
    <n v="548"/>
    <n v="1996"/>
    <s v="2.0x1.0"/>
    <n v="1.98"/>
    <n v="4000"/>
    <n v="2020"/>
    <n v="193"/>
    <x v="9"/>
    <n v="3.2323232323232327"/>
    <n v="3.2"/>
    <d v="2009-09-30T00:00:00"/>
    <x v="0"/>
    <n v="3.82"/>
    <n v="7.6"/>
  </r>
  <r>
    <x v="10"/>
    <x v="0"/>
    <x v="0"/>
    <x v="0"/>
    <x v="0"/>
    <n v="548"/>
    <n v="1996"/>
    <s v="2.0x1.0"/>
    <n v="1.98"/>
    <n v="4000"/>
    <n v="2020"/>
    <n v="140"/>
    <x v="10"/>
    <n v="1.8686868686868687"/>
    <n v="1.85"/>
    <d v="2010-10-05T00:00:00"/>
    <x v="8"/>
    <n v="3.42"/>
    <n v="12.1"/>
  </r>
  <r>
    <x v="11"/>
    <x v="0"/>
    <x v="0"/>
    <x v="0"/>
    <x v="0"/>
    <n v="548"/>
    <n v="1996"/>
    <s v="2.0x1.0"/>
    <n v="1.98"/>
    <n v="4000"/>
    <n v="2020"/>
    <n v="245"/>
    <x v="11"/>
    <n v="2.2777777777777777"/>
    <n v="2.2549999999999999"/>
    <d v="2011-10-17T00:00:00"/>
    <x v="6"/>
    <n v="3.39"/>
    <n v="9.1999999999999993"/>
  </r>
  <r>
    <x v="12"/>
    <x v="0"/>
    <x v="0"/>
    <x v="0"/>
    <x v="0"/>
    <n v="548"/>
    <n v="1996"/>
    <s v="2.0x1.0"/>
    <n v="1.98"/>
    <n v="4000"/>
    <n v="2020"/>
    <n v="180"/>
    <x v="12"/>
    <n v="2.1565656565656566"/>
    <n v="2.1349999999999998"/>
    <d v="2012-10-03T00:00:00"/>
    <x v="9"/>
    <n v="3.39"/>
    <n v="7.95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2"/>
    <x v="2"/>
    <x v="0"/>
    <s v="UCD"/>
    <n v="1987"/>
    <s v="2.7x1.4"/>
    <n v="1.42"/>
    <n v="1532"/>
    <n v="1078.8732394366198"/>
    <m/>
    <x v="14"/>
    <n v="5.8007042253521126"/>
    <n v="10.753263707571801"/>
    <d v="2001-10-26T00:00:00"/>
    <x v="6"/>
    <n v="2.96"/>
    <n v="13.7"/>
  </r>
  <r>
    <x v="1"/>
    <x v="0"/>
    <x v="2"/>
    <x v="2"/>
    <x v="0"/>
    <s v="UCD"/>
    <n v="1987"/>
    <s v="2.7x1.4"/>
    <n v="1.42"/>
    <n v="1532"/>
    <n v="1078.8732394366198"/>
    <n v="174"/>
    <x v="15"/>
    <n v="5.9440140845070424"/>
    <n v="11.01892950391645"/>
    <d v="2001-10-24T00:00:00"/>
    <x v="11"/>
    <n v="3.03"/>
    <n v="10.199999999999999"/>
  </r>
  <r>
    <x v="2"/>
    <x v="0"/>
    <x v="2"/>
    <x v="2"/>
    <x v="0"/>
    <s v="UCD"/>
    <n v="1987"/>
    <s v="2.7x1.4"/>
    <n v="1.42"/>
    <n v="1532"/>
    <n v="1078.8732394366198"/>
    <n v="149"/>
    <x v="16"/>
    <n v="8.4507042253521139"/>
    <n v="15.66579634464752"/>
    <d v="2003-10-19T00:00:00"/>
    <x v="12"/>
    <n v="3.24"/>
    <n v="8.6"/>
  </r>
  <r>
    <x v="3"/>
    <x v="0"/>
    <x v="2"/>
    <x v="2"/>
    <x v="0"/>
    <s v="UCD"/>
    <n v="1987"/>
    <s v="2.7x1.4"/>
    <n v="1.42"/>
    <n v="1532"/>
    <n v="1078.8732394366198"/>
    <n v="292"/>
    <x v="17"/>
    <n v="8.6619718309859159"/>
    <n v="16.057441253263708"/>
    <d v="2003-10-21T00:00:00"/>
    <x v="13"/>
    <n v="3.32"/>
    <n v="8.5"/>
  </r>
  <r>
    <x v="4"/>
    <x v="0"/>
    <x v="2"/>
    <x v="2"/>
    <x v="0"/>
    <s v="UCD"/>
    <n v="1987"/>
    <s v="2.7x1.4"/>
    <n v="1.42"/>
    <n v="1532"/>
    <n v="1079"/>
    <n v="224"/>
    <x v="18"/>
    <n v="12.535211267605636"/>
    <n v="23.237597911227155"/>
    <d v="2004-10-25T00:00:00"/>
    <x v="13"/>
    <n v="3.4"/>
    <n v="9.3000000000000007"/>
  </r>
  <r>
    <x v="5"/>
    <x v="0"/>
    <x v="2"/>
    <x v="2"/>
    <x v="0"/>
    <s v="UCD"/>
    <n v="1987"/>
    <s v="2.7x1.4"/>
    <n v="1.42"/>
    <n v="1532"/>
    <n v="1079"/>
    <n v="224"/>
    <x v="19"/>
    <n v="8.7323943661971839"/>
    <n v="16.187989556135769"/>
    <d v="2005-10-17T00:00:00"/>
    <x v="6"/>
    <n v="3.16"/>
    <n v="9.1999999999999993"/>
  </r>
  <r>
    <x v="6"/>
    <x v="0"/>
    <x v="2"/>
    <x v="2"/>
    <x v="0"/>
    <s v="UCD"/>
    <n v="1987"/>
    <s v="2.7x1.4"/>
    <n v="1.42"/>
    <n v="1532"/>
    <n v="1079"/>
    <n v="252"/>
    <x v="20"/>
    <n v="11.267605633802818"/>
    <n v="20.887728459530027"/>
    <d v="2006-10-25T00:00:00"/>
    <x v="14"/>
    <n v="3.28"/>
    <n v="9.6"/>
  </r>
  <r>
    <x v="7"/>
    <x v="0"/>
    <x v="2"/>
    <x v="2"/>
    <x v="0"/>
    <s v="UCD"/>
    <n v="1987"/>
    <s v="2.7x1.4"/>
    <n v="1.42"/>
    <n v="1532"/>
    <n v="1079"/>
    <n v="198"/>
    <x v="21"/>
    <n v="7.2535211267605639"/>
    <n v="13.446475195822455"/>
    <d v="2007-10-27T00:00:00"/>
    <x v="6"/>
    <n v="3.23"/>
    <n v="10.8"/>
  </r>
  <r>
    <x v="8"/>
    <x v="0"/>
    <x v="2"/>
    <x v="2"/>
    <x v="0"/>
    <s v="UCD"/>
    <n v="1987"/>
    <s v="2.7x1.4"/>
    <n v="1.42"/>
    <n v="1532"/>
    <n v="1079"/>
    <n v="250"/>
    <x v="22"/>
    <n v="11.19718309859155"/>
    <n v="20.757180156657963"/>
    <d v="2008-10-10T00:00:00"/>
    <x v="15"/>
    <n v="3.2"/>
    <n v="11.8"/>
  </r>
  <r>
    <x v="9"/>
    <x v="0"/>
    <x v="2"/>
    <x v="2"/>
    <x v="0"/>
    <s v="UCD"/>
    <n v="1987"/>
    <s v="2.7x1.4"/>
    <n v="1.42"/>
    <n v="1532"/>
    <n v="1079"/>
    <n v="212"/>
    <x v="23"/>
    <n v="8.591549295774648"/>
    <n v="15.926892950391645"/>
    <d v="2009-10-07T00:00:00"/>
    <x v="16"/>
    <n v="3.39"/>
    <n v="8.9"/>
  </r>
  <r>
    <x v="10"/>
    <x v="0"/>
    <x v="2"/>
    <x v="2"/>
    <x v="0"/>
    <s v="UCD"/>
    <n v="1987"/>
    <s v="2.7x1.4"/>
    <n v="1.42"/>
    <n v="1532"/>
    <n v="1079"/>
    <n v="150"/>
    <x v="24"/>
    <n v="11.126760563380282"/>
    <n v="20.626631853785902"/>
    <d v="2010-10-21T00:00:00"/>
    <x v="13"/>
    <n v="3.06"/>
    <n v="12.7"/>
  </r>
  <r>
    <x v="11"/>
    <x v="0"/>
    <x v="2"/>
    <x v="2"/>
    <x v="0"/>
    <s v="UCD"/>
    <n v="1987"/>
    <s v="2.7x1.4"/>
    <n v="1.42"/>
    <n v="1532"/>
    <n v="1079"/>
    <n v="205"/>
    <x v="25"/>
    <n v="7.4577464788732399"/>
    <n v="13.825065274151436"/>
    <d v="2011-10-19T00:00:00"/>
    <x v="17"/>
    <n v="3.19"/>
    <n v="10.8"/>
  </r>
  <r>
    <x v="12"/>
    <x v="0"/>
    <x v="2"/>
    <x v="2"/>
    <x v="0"/>
    <s v="UCD"/>
    <n v="1987"/>
    <s v="2.7x1.4"/>
    <n v="1.42"/>
    <n v="1532"/>
    <n v="1079"/>
    <n v="200"/>
    <x v="26"/>
    <n v="11.5"/>
    <n v="21.318537859007829"/>
    <d v="2012-10-06T00:00:00"/>
    <x v="18"/>
    <n v="3.2266666666666666"/>
    <n v="10.4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2"/>
    <x v="3"/>
    <x v="0"/>
    <s v="mixed"/>
    <n v="1993"/>
    <s v="2.4x1.0"/>
    <n v="0.48"/>
    <n v="800"/>
    <n v="1666.6666666666667"/>
    <n v="223"/>
    <x v="27"/>
    <n v="8.6666666666666679"/>
    <n v="10.4"/>
    <d v="2001-10-26T00:00:00"/>
    <x v="6"/>
    <n v="2.96"/>
    <n v="13.7"/>
  </r>
  <r>
    <x v="1"/>
    <x v="0"/>
    <x v="2"/>
    <x v="3"/>
    <x v="0"/>
    <s v="mixed"/>
    <n v="1993"/>
    <s v="2.4x1.0"/>
    <n v="0.48"/>
    <n v="800"/>
    <n v="1666.6666666666667"/>
    <n v="174"/>
    <x v="28"/>
    <n v="8.4468750000000004"/>
    <n v="10.13625"/>
    <d v="2001-10-24T00:00:00"/>
    <x v="19"/>
    <n v="3.06"/>
    <n v="11"/>
  </r>
  <r>
    <x v="2"/>
    <x v="0"/>
    <x v="2"/>
    <x v="3"/>
    <x v="0"/>
    <s v="mixed"/>
    <n v="1993"/>
    <s v="2.4x1.0"/>
    <n v="0.48"/>
    <n v="800"/>
    <n v="1666.6666666666667"/>
    <n v="149"/>
    <x v="29"/>
    <n v="8.2291666666666679"/>
    <n v="9.875"/>
    <d v="2003-10-19T00:00:00"/>
    <x v="12"/>
    <n v="3.24"/>
    <n v="8.6"/>
  </r>
  <r>
    <x v="3"/>
    <x v="0"/>
    <x v="2"/>
    <x v="3"/>
    <x v="0"/>
    <s v="mixed"/>
    <n v="1993"/>
    <s v="2.4x1.0"/>
    <n v="0.48"/>
    <n v="800"/>
    <n v="1666.6666666666667"/>
    <n v="286"/>
    <x v="30"/>
    <n v="8.9583333333333339"/>
    <n v="10.75"/>
    <d v="2003-10-21T00:00:00"/>
    <x v="13"/>
    <n v="3.32"/>
    <n v="8.5"/>
  </r>
  <r>
    <x v="4"/>
    <x v="0"/>
    <x v="2"/>
    <x v="3"/>
    <x v="0"/>
    <s v="mixed"/>
    <n v="1993"/>
    <s v="2.4x1.0"/>
    <n v="0.48"/>
    <n v="800"/>
    <n v="1667"/>
    <m/>
    <x v="30"/>
    <n v="8.9583333333333339"/>
    <n v="10.75"/>
    <m/>
    <x v="10"/>
    <m/>
    <m/>
  </r>
  <r>
    <x v="5"/>
    <x v="0"/>
    <x v="2"/>
    <x v="3"/>
    <x v="0"/>
    <s v="mixed"/>
    <n v="1993"/>
    <s v="2.4x1.0"/>
    <n v="0.48"/>
    <n v="800"/>
    <n v="1667"/>
    <n v="224"/>
    <x v="31"/>
    <n v="10.833333333333334"/>
    <n v="13"/>
    <d v="2005-10-17T00:00:00"/>
    <x v="6"/>
    <n v="3.16"/>
    <n v="9.1999999999999993"/>
  </r>
  <r>
    <x v="6"/>
    <x v="0"/>
    <x v="2"/>
    <x v="3"/>
    <x v="0"/>
    <s v="mixed"/>
    <n v="1993"/>
    <s v="2.4x1.0"/>
    <n v="0.48"/>
    <n v="800"/>
    <n v="1667"/>
    <n v="270"/>
    <x v="32"/>
    <n v="10.416666666666668"/>
    <n v="12.5"/>
    <d v="2006-10-25T00:00:00"/>
    <x v="19"/>
    <n v="3.28"/>
    <n v="9.6"/>
  </r>
  <r>
    <x v="7"/>
    <x v="0"/>
    <x v="2"/>
    <x v="3"/>
    <x v="0"/>
    <s v="mixed"/>
    <n v="1993"/>
    <s v="2.4x1.0"/>
    <n v="0.48"/>
    <n v="800"/>
    <n v="1667"/>
    <m/>
    <x v="31"/>
    <n v="10.833333333333334"/>
    <n v="13"/>
    <d v="2007-10-27T00:00:00"/>
    <x v="6"/>
    <n v="3.23"/>
    <n v="10.8"/>
  </r>
  <r>
    <x v="8"/>
    <x v="0"/>
    <x v="2"/>
    <x v="3"/>
    <x v="0"/>
    <s v="mixed"/>
    <n v="1993"/>
    <s v="2.4x1.0"/>
    <n v="0.48"/>
    <n v="800"/>
    <n v="1667"/>
    <n v="240"/>
    <x v="3"/>
    <n v="14.375000000000002"/>
    <n v="17.25"/>
    <d v="2008-10-10T00:00:00"/>
    <x v="15"/>
    <n v="3.2"/>
    <n v="11.8"/>
  </r>
  <r>
    <x v="9"/>
    <x v="0"/>
    <x v="2"/>
    <x v="3"/>
    <x v="0"/>
    <s v="mixed"/>
    <n v="1993"/>
    <s v="2.4x1.0"/>
    <n v="0.48"/>
    <n v="800"/>
    <n v="1667"/>
    <n v="212"/>
    <x v="33"/>
    <n v="12.916666666666668"/>
    <n v="15.5"/>
    <d v="2009-10-07T00:00:00"/>
    <x v="20"/>
    <n v="3.49"/>
    <n v="8.1999999999999993"/>
  </r>
  <r>
    <x v="10"/>
    <x v="0"/>
    <x v="2"/>
    <x v="3"/>
    <x v="0"/>
    <s v="mixed"/>
    <n v="1993"/>
    <s v="2.4x1.0"/>
    <n v="0.48"/>
    <n v="800"/>
    <n v="1667"/>
    <m/>
    <x v="13"/>
    <n v="0"/>
    <n v="0"/>
    <m/>
    <x v="10"/>
    <m/>
    <m/>
  </r>
  <r>
    <x v="11"/>
    <x v="0"/>
    <x v="2"/>
    <x v="3"/>
    <x v="0"/>
    <s v="mixed"/>
    <n v="1993"/>
    <s v="2.4x1.0"/>
    <n v="0.48"/>
    <n v="800"/>
    <n v="1667"/>
    <n v="240"/>
    <x v="34"/>
    <n v="11.458333333333334"/>
    <n v="13.75"/>
    <d v="2011-10-19T00:00:00"/>
    <x v="17"/>
    <n v="3.19"/>
    <n v="10.8"/>
  </r>
  <r>
    <x v="12"/>
    <x v="0"/>
    <x v="2"/>
    <x v="3"/>
    <x v="0"/>
    <s v="mixed"/>
    <n v="1993"/>
    <s v="2.4x1.0"/>
    <n v="0.48"/>
    <n v="800"/>
    <n v="1667"/>
    <m/>
    <x v="13"/>
    <n v="0"/>
    <n v="0"/>
    <m/>
    <x v="10"/>
    <m/>
    <m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3"/>
    <x v="2"/>
    <x v="0"/>
    <n v="95"/>
    <n v="1996"/>
    <s v="2.1x1.0"/>
    <n v="2.4700000000000002"/>
    <n v="5000"/>
    <n v="2024.2914979757084"/>
    <m/>
    <x v="35"/>
    <n v="3.4576923076923074"/>
    <n v="3.4161999999999999"/>
    <d v="2001-10-23T00:00:00"/>
    <x v="0"/>
    <n v="3.08"/>
    <n v="11.6"/>
  </r>
  <r>
    <x v="1"/>
    <x v="0"/>
    <x v="3"/>
    <x v="2"/>
    <x v="0"/>
    <n v="95"/>
    <n v="1996"/>
    <s v="2.1x1.0"/>
    <n v="2.4700000000000002"/>
    <n v="5000"/>
    <n v="2024.2914979757084"/>
    <n v="144"/>
    <x v="36"/>
    <n v="5.5738866396761129"/>
    <n v="5.5069999999999997"/>
    <d v="2001-10-15T00:00:00"/>
    <x v="21"/>
    <n v="3.25"/>
    <n v="8.9"/>
  </r>
  <r>
    <x v="2"/>
    <x v="0"/>
    <x v="3"/>
    <x v="2"/>
    <x v="0"/>
    <n v="95"/>
    <n v="1996"/>
    <s v="2.1x1.0"/>
    <n v="2.4700000000000002"/>
    <n v="5000"/>
    <n v="2024.2914979757084"/>
    <n v="152"/>
    <x v="37"/>
    <n v="5.1619433198380564"/>
    <n v="5.0999999999999996"/>
    <d v="2002-10-01T00:00:00"/>
    <x v="5"/>
    <n v="3.3"/>
    <n v="7.1"/>
  </r>
  <r>
    <x v="3"/>
    <x v="0"/>
    <x v="3"/>
    <x v="2"/>
    <x v="0"/>
    <n v="95"/>
    <n v="1996"/>
    <s v="2.1x1.0"/>
    <n v="2.4700000000000002"/>
    <n v="5000"/>
    <n v="2024.2914979757084"/>
    <n v="143"/>
    <x v="38"/>
    <n v="4.3724696356275299"/>
    <n v="4.32"/>
    <d v="2003-09-26T00:00:00"/>
    <x v="2"/>
    <n v="3.45"/>
    <n v="7.4"/>
  </r>
  <r>
    <x v="4"/>
    <x v="0"/>
    <x v="3"/>
    <x v="2"/>
    <x v="0"/>
    <n v="95"/>
    <n v="1996"/>
    <s v="2.1x1.0"/>
    <n v="2.4700000000000002"/>
    <n v="5000"/>
    <n v="2024.2914979757084"/>
    <m/>
    <x v="39"/>
    <n v="7.1255060728744937"/>
    <n v="7.04"/>
    <d v="2004-10-04T00:00:00"/>
    <x v="4"/>
    <n v="3.59"/>
    <n v="7.8"/>
  </r>
  <r>
    <x v="5"/>
    <x v="0"/>
    <x v="3"/>
    <x v="2"/>
    <x v="0"/>
    <n v="95"/>
    <n v="1996"/>
    <s v="2.1x1.0"/>
    <n v="2.4700000000000002"/>
    <n v="5000"/>
    <n v="2024.2914979757084"/>
    <n v="205"/>
    <x v="22"/>
    <n v="6.4372469635627523"/>
    <n v="6.36"/>
    <d v="2005-10-05T00:00:00"/>
    <x v="21"/>
    <n v="3.19"/>
    <n v="8.6"/>
  </r>
  <r>
    <x v="6"/>
    <x v="0"/>
    <x v="3"/>
    <x v="2"/>
    <x v="0"/>
    <n v="95"/>
    <n v="1996"/>
    <s v="2.1x1.0"/>
    <n v="2.4700000000000002"/>
    <n v="5000"/>
    <n v="2024.2914979757084"/>
    <n v="202"/>
    <x v="20"/>
    <n v="6.4777327935222671"/>
    <n v="6.4"/>
    <d v="2006-10-05T00:00:00"/>
    <x v="6"/>
    <n v="3.32"/>
    <n v="8.4"/>
  </r>
  <r>
    <x v="7"/>
    <x v="0"/>
    <x v="3"/>
    <x v="2"/>
    <x v="0"/>
    <n v="95"/>
    <n v="1996"/>
    <s v="2.1x1.0"/>
    <n v="2.4700000000000002"/>
    <n v="5000"/>
    <n v="2024.2914979757084"/>
    <n v="203"/>
    <x v="40"/>
    <n v="9.2712550607287429"/>
    <n v="9.16"/>
    <d v="2007-10-04T00:00:00"/>
    <x v="22"/>
    <n v="3.29"/>
    <n v="8.6"/>
  </r>
  <r>
    <x v="8"/>
    <x v="0"/>
    <x v="3"/>
    <x v="2"/>
    <x v="0"/>
    <n v="95"/>
    <n v="1996"/>
    <s v="2.1x1.0"/>
    <n v="2.4700000000000002"/>
    <n v="5000"/>
    <n v="2024.2914979757084"/>
    <n v="235"/>
    <x v="41"/>
    <n v="9.1497975708502022"/>
    <n v="9.0399999999999991"/>
    <d v="2008-10-06T00:00:00"/>
    <x v="4"/>
    <n v="3.38"/>
    <n v="9.5"/>
  </r>
  <r>
    <x v="9"/>
    <x v="0"/>
    <x v="3"/>
    <x v="2"/>
    <x v="0"/>
    <n v="95"/>
    <n v="1996"/>
    <s v="2.1x1.0"/>
    <n v="2.4700000000000002"/>
    <n v="5000"/>
    <n v="2024.2914979757084"/>
    <n v="220"/>
    <x v="42"/>
    <n v="4.7368421052631575"/>
    <n v="4.68"/>
    <d v="2009-09-30T00:00:00"/>
    <x v="7"/>
    <n v="3.83"/>
    <n v="6.7"/>
  </r>
  <r>
    <x v="10"/>
    <x v="0"/>
    <x v="3"/>
    <x v="2"/>
    <x v="0"/>
    <n v="95"/>
    <n v="1996"/>
    <s v="2.1x1.0"/>
    <n v="2.4700000000000002"/>
    <n v="5000"/>
    <n v="2024.2914979757084"/>
    <n v="138"/>
    <x v="43"/>
    <n v="4.4129554655870447"/>
    <n v="4.3600000000000003"/>
    <d v="2010-10-04T00:00:00"/>
    <x v="23"/>
    <n v="3.32"/>
    <n v="10.1"/>
  </r>
  <r>
    <x v="11"/>
    <x v="0"/>
    <x v="3"/>
    <x v="2"/>
    <x v="0"/>
    <n v="95"/>
    <n v="1996"/>
    <s v="2.1x1.0"/>
    <n v="2.4700000000000002"/>
    <n v="5000"/>
    <n v="2024.2914979757084"/>
    <n v="280"/>
    <x v="44"/>
    <n v="6.7327935222672055"/>
    <n v="6.6520000000000001"/>
    <d v="2011-10-17T00:00:00"/>
    <x v="13"/>
    <n v="3.33"/>
    <n v="8.9"/>
  </r>
  <r>
    <x v="12"/>
    <x v="0"/>
    <x v="3"/>
    <x v="2"/>
    <x v="0"/>
    <n v="95"/>
    <n v="1996"/>
    <s v="2.1x1.0"/>
    <n v="2.4700000000000002"/>
    <n v="5000"/>
    <n v="2024.2914979757084"/>
    <n v="165"/>
    <x v="45"/>
    <n v="4.4777327935222671"/>
    <n v="4.4240000000000004"/>
    <d v="2012-10-02T00:00:00"/>
    <x v="5"/>
    <n v="3.43"/>
    <n v="7.2750000000000004"/>
  </r>
  <r>
    <x v="13"/>
    <x v="1"/>
    <x v="1"/>
    <x v="1"/>
    <x v="1"/>
    <m/>
    <m/>
    <m/>
    <m/>
    <m/>
    <m/>
    <m/>
    <x v="13"/>
    <m/>
    <m/>
    <m/>
    <x v="10"/>
    <m/>
    <m/>
  </r>
  <r>
    <x v="8"/>
    <x v="0"/>
    <x v="4"/>
    <x v="4"/>
    <x v="0"/>
    <n v="95"/>
    <n v="2008"/>
    <s v="2.5x1.4"/>
    <n v="2.35"/>
    <n v="1992"/>
    <n v="847.65957446808511"/>
    <m/>
    <x v="46"/>
    <n v="0"/>
    <n v="0"/>
    <m/>
    <x v="10"/>
    <m/>
    <m/>
  </r>
  <r>
    <x v="9"/>
    <x v="0"/>
    <x v="4"/>
    <x v="4"/>
    <x v="0"/>
    <n v="95"/>
    <n v="2009"/>
    <s v="2.5x1.5"/>
    <n v="2.35"/>
    <n v="1992"/>
    <n v="847.65957446808511"/>
    <n v="265"/>
    <x v="47"/>
    <n v="2.7659574468085104"/>
    <n v="6.5261044176706831"/>
    <d v="2009-09-29T00:00:00"/>
    <x v="2"/>
    <n v="3.68"/>
    <n v="7.6"/>
  </r>
  <r>
    <x v="10"/>
    <x v="0"/>
    <x v="4"/>
    <x v="4"/>
    <x v="0"/>
    <n v="95"/>
    <n v="2010"/>
    <s v="2.5x1.6"/>
    <n v="2.35"/>
    <n v="1992"/>
    <n v="847.65957446808511"/>
    <n v="155"/>
    <x v="48"/>
    <n v="4.6808510638297873"/>
    <n v="11.04417670682731"/>
    <d v="2010-10-05T00:00:00"/>
    <x v="6"/>
    <n v="3.4"/>
    <n v="10.4"/>
  </r>
  <r>
    <x v="11"/>
    <x v="0"/>
    <x v="4"/>
    <x v="4"/>
    <x v="0"/>
    <n v="95"/>
    <n v="2011"/>
    <s v="2.5x1.7"/>
    <n v="2.35"/>
    <n v="1992"/>
    <n v="847.65957446808511"/>
    <n v="283"/>
    <x v="49"/>
    <n v="4.4127659574468083"/>
    <n v="10.411646586345382"/>
    <d v="2011-10-19T00:00:00"/>
    <x v="24"/>
    <n v="3.2"/>
    <n v="10.1"/>
  </r>
  <r>
    <x v="12"/>
    <x v="0"/>
    <x v="4"/>
    <x v="4"/>
    <x v="0"/>
    <n v="95"/>
    <n v="2011"/>
    <s v="2.5x1.8"/>
    <n v="2.35"/>
    <n v="1992"/>
    <n v="847.65957446808511"/>
    <n v="250"/>
    <x v="50"/>
    <n v="4.7234042553191484"/>
    <n v="11.144578313253012"/>
    <d v="2012-10-03T00:00:00"/>
    <x v="21"/>
    <n v="3.27"/>
    <n v="8.9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5"/>
    <x v="4"/>
    <x v="0"/>
    <n v="76"/>
    <n v="1997"/>
    <s v="2.0x1.4"/>
    <n v="2.1800000000000002"/>
    <n v="3000"/>
    <n v="1376.1467889908256"/>
    <n v="140"/>
    <x v="51"/>
    <n v="4.4110091743119257"/>
    <n v="6.4106666666666667"/>
    <d v="2001-10-24T00:00:00"/>
    <x v="23"/>
    <n v="3.12"/>
    <n v="11.4"/>
  </r>
  <r>
    <x v="1"/>
    <x v="0"/>
    <x v="5"/>
    <x v="4"/>
    <x v="0"/>
    <n v="76"/>
    <n v="1997"/>
    <s v="2.0x1.4"/>
    <n v="2.1800000000000002"/>
    <n v="3000"/>
    <n v="1376.1467889908256"/>
    <n v="157"/>
    <x v="52"/>
    <n v="4.5316513761467885"/>
    <n v="6.5860000000000003"/>
    <d v="2001-10-18T00:00:00"/>
    <x v="25"/>
    <n v="3.1"/>
    <n v="9.4"/>
  </r>
  <r>
    <x v="2"/>
    <x v="0"/>
    <x v="5"/>
    <x v="4"/>
    <x v="0"/>
    <n v="76"/>
    <n v="1997"/>
    <s v="2.0x1.4"/>
    <n v="2.1800000000000002"/>
    <n v="3000"/>
    <n v="1376.1467889908256"/>
    <n v="175"/>
    <x v="53"/>
    <n v="5.2889908256880727"/>
    <n v="7.6866666666666665"/>
    <d v="2003-10-02T00:00:00"/>
    <x v="1"/>
    <n v="3.25"/>
    <n v="8"/>
  </r>
  <r>
    <x v="3"/>
    <x v="0"/>
    <x v="5"/>
    <x v="4"/>
    <x v="0"/>
    <n v="76"/>
    <n v="1997"/>
    <s v="2.0x1.4"/>
    <n v="2.1800000000000002"/>
    <n v="3000"/>
    <n v="1376.1467889908256"/>
    <n v="195"/>
    <x v="54"/>
    <n v="3.8990825688073389"/>
    <n v="5.666666666666667"/>
    <d v="2003-09-29T00:00:00"/>
    <x v="26"/>
    <n v="3.44"/>
    <n v="6.4"/>
  </r>
  <r>
    <x v="4"/>
    <x v="0"/>
    <x v="5"/>
    <x v="4"/>
    <x v="0"/>
    <n v="76"/>
    <n v="1997"/>
    <s v="2.0x1.4"/>
    <n v="2.1800000000000002"/>
    <n v="3000"/>
    <n v="1376"/>
    <n v="230"/>
    <x v="55"/>
    <n v="6.5596330275229358"/>
    <n v="9.5333333333333332"/>
    <d v="2004-10-07T00:00:00"/>
    <x v="13"/>
    <n v="3.31"/>
    <n v="9"/>
  </r>
  <r>
    <x v="5"/>
    <x v="0"/>
    <x v="5"/>
    <x v="4"/>
    <x v="0"/>
    <n v="76"/>
    <n v="1997"/>
    <s v="2.0x1.4"/>
    <n v="2.1800000000000002"/>
    <n v="3000"/>
    <n v="1376"/>
    <n v="203"/>
    <x v="56"/>
    <n v="5.2293577981651378"/>
    <n v="7.6"/>
    <d v="2005-10-12T00:00:00"/>
    <x v="12"/>
    <n v="3.19"/>
    <n v="7.6"/>
  </r>
  <r>
    <x v="6"/>
    <x v="0"/>
    <x v="5"/>
    <x v="4"/>
    <x v="0"/>
    <n v="76"/>
    <n v="1997"/>
    <s v="2.0x1.4"/>
    <n v="2.1800000000000002"/>
    <n v="3000"/>
    <n v="1376"/>
    <n v="194"/>
    <x v="57"/>
    <n v="7.0183486238532105"/>
    <n v="10.199999999999999"/>
    <d v="2006-10-06T00:00:00"/>
    <x v="27"/>
    <n v="3.28"/>
    <n v="7.9"/>
  </r>
  <r>
    <x v="7"/>
    <x v="0"/>
    <x v="5"/>
    <x v="4"/>
    <x v="0"/>
    <n v="76"/>
    <n v="1997"/>
    <s v="2.0x1.4"/>
    <n v="2.1800000000000002"/>
    <n v="3000"/>
    <n v="1376"/>
    <n v="198"/>
    <x v="58"/>
    <n v="6.1009174311926602"/>
    <n v="8.8666666666666671"/>
    <d v="2007-10-10T00:00:00"/>
    <x v="6"/>
    <n v="3.16"/>
    <n v="10.199999999999999"/>
  </r>
  <r>
    <x v="8"/>
    <x v="0"/>
    <x v="5"/>
    <x v="4"/>
    <x v="0"/>
    <n v="76"/>
    <n v="1997"/>
    <s v="2.0x1.4"/>
    <n v="2.1800000000000002"/>
    <n v="3000"/>
    <n v="1376"/>
    <n v="230"/>
    <x v="58"/>
    <n v="6.1009174311926602"/>
    <n v="8.8666666666666671"/>
    <d v="2008-10-08T00:00:00"/>
    <x v="4"/>
    <n v="3.28"/>
    <n v="10.3"/>
  </r>
  <r>
    <x v="9"/>
    <x v="0"/>
    <x v="5"/>
    <x v="4"/>
    <x v="0"/>
    <n v="76"/>
    <n v="1997"/>
    <s v="2.0x1.4"/>
    <n v="2.1800000000000002"/>
    <n v="3000"/>
    <n v="1376"/>
    <n v="280"/>
    <x v="59"/>
    <n v="4.7706422018348622"/>
    <n v="6.9333333333333336"/>
    <d v="2009-10-01T00:00:00"/>
    <x v="23"/>
    <n v="3.75"/>
    <n v="6.6"/>
  </r>
  <r>
    <x v="10"/>
    <x v="0"/>
    <x v="5"/>
    <x v="4"/>
    <x v="0"/>
    <n v="76"/>
    <n v="1997"/>
    <s v="2.0x1.4"/>
    <n v="2.1800000000000002"/>
    <n v="3000"/>
    <n v="1376"/>
    <n v="180"/>
    <x v="8"/>
    <n v="4.4954128440366974"/>
    <n v="6.5333333333333332"/>
    <d v="2010-10-12T00:00:00"/>
    <x v="9"/>
    <n v="3.17"/>
    <n v="10.1"/>
  </r>
  <r>
    <x v="11"/>
    <x v="0"/>
    <x v="5"/>
    <x v="4"/>
    <x v="0"/>
    <n v="76"/>
    <n v="1997"/>
    <s v="2.0x1.4"/>
    <n v="2.1800000000000002"/>
    <n v="3000"/>
    <n v="1376"/>
    <n v="215"/>
    <x v="60"/>
    <n v="4.4174311926605503"/>
    <n v="6.42"/>
    <d v="2011-10-18T00:00:00"/>
    <x v="27"/>
    <n v="3.33"/>
    <n v="8.1999999999999993"/>
  </r>
  <r>
    <x v="12"/>
    <x v="0"/>
    <x v="5"/>
    <x v="4"/>
    <x v="0"/>
    <n v="76"/>
    <n v="1997"/>
    <s v="2.0x1.4"/>
    <n v="2.1800000000000002"/>
    <n v="3000"/>
    <n v="1376"/>
    <n v="192.5"/>
    <x v="61"/>
    <n v="3.8394495412844036"/>
    <n v="5.580000000000001"/>
    <d v="2012-10-02T00:00:00"/>
    <x v="4"/>
    <n v="3.45"/>
    <n v="7.5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5"/>
    <x v="0"/>
    <x v="0"/>
    <n v="96"/>
    <n v="1997"/>
    <s v="2.0x1.4"/>
    <n v="2.1800000000000002"/>
    <n v="3000"/>
    <n v="1376.1467889908256"/>
    <n v="147"/>
    <x v="62"/>
    <n v="5.3653669724770641"/>
    <n v="7.7976666666666663"/>
    <d v="2001-10-25T00:00:00"/>
    <x v="28"/>
    <n v="3.16"/>
    <n v="11.2"/>
  </r>
  <r>
    <x v="1"/>
    <x v="0"/>
    <x v="5"/>
    <x v="0"/>
    <x v="0"/>
    <n v="96"/>
    <n v="1997"/>
    <s v="2.0x1.4"/>
    <n v="2.1800000000000002"/>
    <n v="3000"/>
    <n v="1376.1467889908256"/>
    <n v="167"/>
    <x v="63"/>
    <n v="4.8288990825688067"/>
    <n v="7.0179999999999998"/>
    <d v="2001-10-18T00:00:00"/>
    <x v="13"/>
    <n v="3.12"/>
    <n v="9.1999999999999993"/>
  </r>
  <r>
    <x v="2"/>
    <x v="0"/>
    <x v="5"/>
    <x v="0"/>
    <x v="0"/>
    <n v="96"/>
    <n v="1997"/>
    <s v="2.0x1.4"/>
    <n v="2.1800000000000002"/>
    <n v="3000"/>
    <n v="1376.1467889908256"/>
    <n v="195"/>
    <x v="64"/>
    <n v="4.5917431192660549"/>
    <n v="6.6733333333333329"/>
    <d v="2003-10-11T00:00:00"/>
    <x v="5"/>
    <n v="3.24"/>
    <n v="7.5"/>
  </r>
  <r>
    <x v="3"/>
    <x v="0"/>
    <x v="5"/>
    <x v="0"/>
    <x v="0"/>
    <n v="96"/>
    <n v="1997"/>
    <s v="2.0x1.4"/>
    <n v="2.1800000000000002"/>
    <n v="3000"/>
    <n v="1376.1467889908256"/>
    <n v="235"/>
    <x v="65"/>
    <n v="3.6697247706422016"/>
    <n v="5.333333333333333"/>
    <d v="2003-09-29T00:00:00"/>
    <x v="1"/>
    <n v="3.41"/>
    <n v="7.1"/>
  </r>
  <r>
    <x v="4"/>
    <x v="0"/>
    <x v="5"/>
    <x v="0"/>
    <x v="0"/>
    <n v="96"/>
    <n v="1997"/>
    <s v="2.0x1.4"/>
    <n v="2.1800000000000002"/>
    <n v="3000"/>
    <n v="1376"/>
    <n v="180"/>
    <x v="66"/>
    <n v="6.0091743119266052"/>
    <n v="8.7333333333333325"/>
    <d v="2004-10-13T00:00:00"/>
    <x v="6"/>
    <n v="3.4"/>
    <n v="6.9"/>
  </r>
  <r>
    <x v="5"/>
    <x v="0"/>
    <x v="5"/>
    <x v="0"/>
    <x v="0"/>
    <n v="96"/>
    <n v="1997"/>
    <s v="2.0x1.4"/>
    <n v="2.1800000000000002"/>
    <n v="3000"/>
    <n v="1376"/>
    <n v="211"/>
    <x v="67"/>
    <n v="5.4128440366972477"/>
    <n v="7.8666666666666663"/>
    <d v="2005-10-12T00:00:00"/>
    <x v="21"/>
    <n v="3.15"/>
    <n v="8"/>
  </r>
  <r>
    <x v="6"/>
    <x v="0"/>
    <x v="5"/>
    <x v="0"/>
    <x v="0"/>
    <n v="96"/>
    <n v="1997"/>
    <s v="2.0x1.4"/>
    <n v="2.1800000000000002"/>
    <n v="3000"/>
    <n v="1376"/>
    <n v="226"/>
    <x v="68"/>
    <n v="6.7889908256880735"/>
    <n v="9.8666666666666671"/>
    <d v="2006-10-11T00:00:00"/>
    <x v="27"/>
    <n v="3.36"/>
    <n v="6.9"/>
  </r>
  <r>
    <x v="7"/>
    <x v="0"/>
    <x v="5"/>
    <x v="0"/>
    <x v="0"/>
    <n v="96"/>
    <n v="1997"/>
    <s v="2.0x1.4"/>
    <n v="2.1800000000000002"/>
    <n v="3000"/>
    <n v="1376"/>
    <n v="196"/>
    <x v="69"/>
    <n v="6.4678899082568799"/>
    <n v="9.4"/>
    <d v="2007-10-10T00:00:00"/>
    <x v="13"/>
    <n v="3.18"/>
    <n v="8.9"/>
  </r>
  <r>
    <x v="8"/>
    <x v="0"/>
    <x v="5"/>
    <x v="0"/>
    <x v="0"/>
    <n v="96"/>
    <n v="1997"/>
    <s v="2.0x1.4"/>
    <n v="2.1800000000000002"/>
    <n v="3000"/>
    <n v="1376"/>
    <n v="220"/>
    <x v="70"/>
    <n v="6.0550458715596323"/>
    <n v="8.8000000000000007"/>
    <d v="2008-10-08T00:00:00"/>
    <x v="29"/>
    <n v="3.31"/>
    <n v="10"/>
  </r>
  <r>
    <x v="9"/>
    <x v="0"/>
    <x v="5"/>
    <x v="0"/>
    <x v="0"/>
    <n v="96"/>
    <n v="1997"/>
    <s v="2.0x1.4"/>
    <n v="2.1800000000000002"/>
    <n v="3000"/>
    <n v="1376"/>
    <n v="297"/>
    <x v="71"/>
    <n v="4.2201834862385317"/>
    <n v="6.1333333333333337"/>
    <d v="2009-10-01T00:00:00"/>
    <x v="2"/>
    <n v="3.84"/>
    <n v="6.3"/>
  </r>
  <r>
    <x v="10"/>
    <x v="0"/>
    <x v="5"/>
    <x v="0"/>
    <x v="0"/>
    <n v="96"/>
    <n v="1997"/>
    <s v="2.0x1.4"/>
    <n v="2.1800000000000002"/>
    <n v="3000"/>
    <n v="1376"/>
    <n v="150"/>
    <x v="72"/>
    <n v="4.6788990825688064"/>
    <n v="6.8"/>
    <d v="2010-10-12T00:00:00"/>
    <x v="6"/>
    <n v="3.18"/>
    <n v="10"/>
  </r>
  <r>
    <x v="11"/>
    <x v="0"/>
    <x v="5"/>
    <x v="0"/>
    <x v="0"/>
    <n v="96"/>
    <n v="1997"/>
    <s v="2.0x1.4"/>
    <n v="2.1800000000000002"/>
    <n v="3000"/>
    <n v="1376"/>
    <n v="220"/>
    <x v="73"/>
    <n v="4.4495412844036695"/>
    <n v="6.4666666666666668"/>
    <d v="2011-10-18T00:00:00"/>
    <x v="20"/>
    <n v="3.31"/>
    <n v="7.6"/>
  </r>
  <r>
    <x v="12"/>
    <x v="0"/>
    <x v="5"/>
    <x v="0"/>
    <x v="0"/>
    <n v="96"/>
    <n v="1997"/>
    <s v="2.0x1.4"/>
    <n v="2.1800000000000002"/>
    <n v="3000"/>
    <n v="1376"/>
    <n v="204"/>
    <x v="74"/>
    <n v="4.6238532110091741"/>
    <n v="6.72"/>
    <d v="2012-10-02T00:00:00"/>
    <x v="6"/>
    <n v="3.36"/>
    <n v="7.12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5"/>
    <x v="5"/>
    <x v="0"/>
    <n v="277"/>
    <n v="1997"/>
    <s v="2.0x1.4"/>
    <n v="2.1800000000000002"/>
    <n v="3000"/>
    <n v="1376.1467889908256"/>
    <n v="177"/>
    <x v="75"/>
    <n v="4.2816513761467885"/>
    <n v="6.222666666666667"/>
    <d v="2001-10-25T00:00:00"/>
    <x v="22"/>
    <n v="3.16"/>
    <n v="11.2"/>
  </r>
  <r>
    <x v="1"/>
    <x v="0"/>
    <x v="5"/>
    <x v="5"/>
    <x v="0"/>
    <n v="277"/>
    <n v="1997"/>
    <s v="2.0x1.4"/>
    <n v="2.1800000000000002"/>
    <n v="3000"/>
    <n v="1376.1467889908256"/>
    <n v="144"/>
    <x v="76"/>
    <n v="4.4729357798165132"/>
    <n v="6.5006666666666666"/>
    <d v="2001-10-18T00:00:00"/>
    <x v="27"/>
    <n v="3.11"/>
    <n v="9"/>
  </r>
  <r>
    <x v="2"/>
    <x v="0"/>
    <x v="5"/>
    <x v="5"/>
    <x v="0"/>
    <n v="277"/>
    <n v="1997"/>
    <s v="2.0x1.4"/>
    <n v="2.1800000000000002"/>
    <n v="3000"/>
    <n v="1376.1467889908256"/>
    <n v="172"/>
    <x v="77"/>
    <n v="3.5137614678899083"/>
    <n v="5.1066666666666665"/>
    <d v="2003-10-03T00:00:00"/>
    <x v="4"/>
    <n v="3.18"/>
    <n v="8.1999999999999993"/>
  </r>
  <r>
    <x v="3"/>
    <x v="0"/>
    <x v="5"/>
    <x v="5"/>
    <x v="0"/>
    <n v="277"/>
    <n v="1997"/>
    <s v="2.0x1.4"/>
    <n v="2.1800000000000002"/>
    <n v="3000"/>
    <n v="1376.1467889908256"/>
    <n v="210"/>
    <x v="78"/>
    <n v="3.7339449541284404"/>
    <n v="5.4266666666666676"/>
    <d v="2003-09-30T00:00:00"/>
    <x v="23"/>
    <n v="3.43"/>
    <n v="6.7"/>
  </r>
  <r>
    <x v="4"/>
    <x v="0"/>
    <x v="5"/>
    <x v="5"/>
    <x v="0"/>
    <n v="277"/>
    <n v="1997"/>
    <s v="2.0x1.4"/>
    <n v="2.1800000000000002"/>
    <n v="3000"/>
    <n v="1376"/>
    <n v="290"/>
    <x v="21"/>
    <n v="4.7247706422018352"/>
    <n v="6.8666666666666663"/>
    <d v="2004-10-13T00:00:00"/>
    <x v="30"/>
    <n v="3.36"/>
    <n v="8.1"/>
  </r>
  <r>
    <x v="5"/>
    <x v="0"/>
    <x v="5"/>
    <x v="5"/>
    <x v="0"/>
    <n v="277"/>
    <n v="1997"/>
    <s v="2.0x1.4"/>
    <n v="2.1800000000000002"/>
    <n v="3000"/>
    <n v="1376"/>
    <n v="165"/>
    <x v="79"/>
    <n v="4.5871559633027523"/>
    <n v="6.666666666666667"/>
    <d v="2005-10-06T00:00:00"/>
    <x v="6"/>
    <n v="3.18"/>
    <n v="7.8"/>
  </r>
  <r>
    <x v="6"/>
    <x v="0"/>
    <x v="5"/>
    <x v="5"/>
    <x v="0"/>
    <n v="277"/>
    <n v="1997"/>
    <s v="2.0x1.4"/>
    <n v="2.1800000000000002"/>
    <n v="3000"/>
    <n v="1376"/>
    <n v="180"/>
    <x v="80"/>
    <n v="4.8623853211009171"/>
    <n v="7.0666666666666664"/>
    <d v="2006-10-11T00:00:00"/>
    <x v="28"/>
    <n v="3.27"/>
    <n v="7.7"/>
  </r>
  <r>
    <x v="7"/>
    <x v="0"/>
    <x v="5"/>
    <x v="5"/>
    <x v="0"/>
    <n v="277"/>
    <n v="1997"/>
    <s v="2.0x1.4"/>
    <n v="2.1800000000000002"/>
    <n v="3000"/>
    <n v="1376"/>
    <n v="206"/>
    <x v="81"/>
    <n v="6.376146788990825"/>
    <n v="9.2666666666666675"/>
    <d v="2007-10-05T00:00:00"/>
    <x v="20"/>
    <n v="3.25"/>
    <n v="9.1999999999999993"/>
  </r>
  <r>
    <x v="8"/>
    <x v="0"/>
    <x v="5"/>
    <x v="5"/>
    <x v="0"/>
    <n v="277"/>
    <n v="1997"/>
    <s v="2.0x1.4"/>
    <n v="2.1800000000000002"/>
    <n v="3000"/>
    <n v="1376"/>
    <n v="200"/>
    <x v="66"/>
    <n v="6.0091743119266052"/>
    <n v="8.7333333333333325"/>
    <d v="2008-10-08T00:00:00"/>
    <x v="29"/>
    <n v="3.31"/>
    <n v="10"/>
  </r>
  <r>
    <x v="9"/>
    <x v="0"/>
    <x v="5"/>
    <x v="5"/>
    <x v="0"/>
    <n v="277"/>
    <n v="1997"/>
    <s v="2.0x1.4"/>
    <n v="2.1800000000000002"/>
    <n v="3000"/>
    <n v="1376"/>
    <n v="212"/>
    <x v="59"/>
    <n v="4.7706422018348622"/>
    <n v="6.9333333333333336"/>
    <d v="2009-10-01T00:00:00"/>
    <x v="12"/>
    <n v="3.67"/>
    <n v="6.7"/>
  </r>
  <r>
    <x v="10"/>
    <x v="0"/>
    <x v="5"/>
    <x v="5"/>
    <x v="0"/>
    <n v="277"/>
    <n v="1997"/>
    <s v="2.0x1.4"/>
    <n v="2.1800000000000002"/>
    <n v="3000"/>
    <n v="1376"/>
    <n v="125"/>
    <x v="82"/>
    <n v="3.4403669724770638"/>
    <n v="5"/>
    <d v="2010-10-12T00:00:00"/>
    <x v="1"/>
    <n v="3.06"/>
    <n v="11.6"/>
  </r>
  <r>
    <x v="11"/>
    <x v="0"/>
    <x v="5"/>
    <x v="5"/>
    <x v="0"/>
    <n v="277"/>
    <n v="1997"/>
    <s v="2.0x1.4"/>
    <n v="2.1800000000000002"/>
    <n v="3000"/>
    <n v="1376"/>
    <n v="220"/>
    <x v="77"/>
    <n v="3.5137614678899083"/>
    <n v="5.1066666666666665"/>
    <d v="2011-10-19T00:00:00"/>
    <x v="31"/>
    <n v="3.28"/>
    <n v="8.1999999999999993"/>
  </r>
  <r>
    <x v="12"/>
    <x v="0"/>
    <x v="5"/>
    <x v="5"/>
    <x v="0"/>
    <n v="277"/>
    <n v="1997"/>
    <s v="2.0x1.4"/>
    <n v="2.1800000000000002"/>
    <n v="3000"/>
    <n v="1376"/>
    <n v="179"/>
    <x v="83"/>
    <n v="3.6192660550458711"/>
    <n v="5.26"/>
    <d v="2012-10-02T00:00:00"/>
    <x v="6"/>
    <n v="3.41"/>
    <n v="7.87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5"/>
    <x v="2"/>
    <x v="0"/>
    <n v="809"/>
    <n v="1997"/>
    <s v="2.0x1.4"/>
    <n v="0.73"/>
    <n v="1000"/>
    <n v="1369.8630136986301"/>
    <n v="112"/>
    <x v="84"/>
    <n v="4.0636986301369866"/>
    <n v="5.9329999999999998"/>
    <d v="2001-10-26T00:00:00"/>
    <x v="10"/>
    <m/>
    <m/>
  </r>
  <r>
    <x v="1"/>
    <x v="0"/>
    <x v="5"/>
    <x v="2"/>
    <x v="0"/>
    <n v="809"/>
    <n v="1997"/>
    <s v="2.0x1.4"/>
    <n v="0.73"/>
    <n v="1000"/>
    <n v="1369.8630136986301"/>
    <n v="161"/>
    <x v="85"/>
    <n v="3.6047945205479452"/>
    <n v="5.2629999999999999"/>
    <d v="2001-10-18T00:00:00"/>
    <x v="12"/>
    <n v="3.22"/>
    <n v="9.4"/>
  </r>
  <r>
    <x v="2"/>
    <x v="0"/>
    <x v="5"/>
    <x v="2"/>
    <x v="0"/>
    <n v="809"/>
    <n v="1997"/>
    <s v="2.0x1.4"/>
    <n v="0.73"/>
    <n v="1000"/>
    <n v="1369.8630136986301"/>
    <n v="170"/>
    <x v="86"/>
    <n v="6.6849315068493151"/>
    <n v="9.76"/>
    <d v="2003-10-03T00:00:00"/>
    <x v="4"/>
    <n v="3.3"/>
    <n v="7"/>
  </r>
  <r>
    <x v="3"/>
    <x v="0"/>
    <x v="5"/>
    <x v="2"/>
    <x v="0"/>
    <n v="809"/>
    <n v="1997"/>
    <s v="2.0x1.4"/>
    <n v="0.73"/>
    <n v="1000"/>
    <n v="1369.8630136986301"/>
    <s v=" "/>
    <x v="46"/>
    <n v="0"/>
    <n v="0"/>
    <s v=" "/>
    <x v="10"/>
    <m/>
    <m/>
  </r>
  <r>
    <x v="4"/>
    <x v="0"/>
    <x v="5"/>
    <x v="2"/>
    <x v="0"/>
    <n v="809"/>
    <n v="1997"/>
    <s v="2.0x1.4"/>
    <n v="0.73"/>
    <n v="1000"/>
    <n v="1370"/>
    <n v="165"/>
    <x v="87"/>
    <n v="6.9863013698630132"/>
    <n v="10.199999999999999"/>
    <d v="2004-10-13T00:00:00"/>
    <x v="21"/>
    <n v="3.44"/>
    <n v="6.6"/>
  </r>
  <r>
    <x v="5"/>
    <x v="0"/>
    <x v="5"/>
    <x v="2"/>
    <x v="0"/>
    <n v="809"/>
    <n v="1997"/>
    <s v="2.0x1.4"/>
    <n v="0.73"/>
    <n v="1000"/>
    <n v="1370"/>
    <n v="174"/>
    <x v="88"/>
    <n v="4.3835616438356171"/>
    <n v="6.4"/>
    <d v="2005-10-06T00:00:00"/>
    <x v="21"/>
    <n v="3.29"/>
    <n v="8.1"/>
  </r>
  <r>
    <x v="6"/>
    <x v="0"/>
    <x v="5"/>
    <x v="2"/>
    <x v="0"/>
    <n v="809"/>
    <n v="1997"/>
    <s v="2.0x1.4"/>
    <n v="0.73"/>
    <n v="1000"/>
    <n v="1370"/>
    <n v="210"/>
    <x v="89"/>
    <n v="10.410958904109588"/>
    <n v="15.2"/>
    <d v="2006-10-11T00:00:00"/>
    <x v="14"/>
    <n v="3.34"/>
    <n v="7"/>
  </r>
  <r>
    <x v="7"/>
    <x v="0"/>
    <x v="5"/>
    <x v="2"/>
    <x v="0"/>
    <n v="809"/>
    <n v="1997"/>
    <s v="2.0x1.4"/>
    <n v="0.73"/>
    <n v="1000"/>
    <n v="1370"/>
    <n v="210"/>
    <x v="90"/>
    <n v="8.6301369863013697"/>
    <n v="12.6"/>
    <d v="2007-10-05T00:00:00"/>
    <x v="31"/>
    <n v="3.25"/>
    <n v="8.6999999999999993"/>
  </r>
  <r>
    <x v="8"/>
    <x v="0"/>
    <x v="5"/>
    <x v="2"/>
    <x v="0"/>
    <n v="809"/>
    <n v="1997"/>
    <s v="2.0x1.4"/>
    <n v="0.73"/>
    <n v="1000"/>
    <n v="1370"/>
    <n v="180"/>
    <x v="91"/>
    <n v="6.7123287671232887"/>
    <n v="9.8000000000000007"/>
    <d v="2008-10-08T00:00:00"/>
    <x v="4"/>
    <n v="3.4"/>
    <n v="9"/>
  </r>
  <r>
    <x v="9"/>
    <x v="0"/>
    <x v="5"/>
    <x v="2"/>
    <x v="0"/>
    <n v="809"/>
    <n v="1997"/>
    <s v="2.0x1.4"/>
    <n v="0.73"/>
    <n v="1000"/>
    <n v="1370"/>
    <n v="240"/>
    <x v="92"/>
    <n v="6.1643835616438354"/>
    <n v="9"/>
    <d v="2009-10-02T00:00:00"/>
    <x v="21"/>
    <n v="3.6"/>
    <n v="6.7"/>
  </r>
  <r>
    <x v="10"/>
    <x v="0"/>
    <x v="5"/>
    <x v="2"/>
    <x v="0"/>
    <n v="809"/>
    <n v="1997"/>
    <s v="2.0x1.4"/>
    <n v="0.73"/>
    <n v="1000"/>
    <n v="1370"/>
    <n v="135"/>
    <x v="10"/>
    <n v="5.0684931506849322"/>
    <n v="7.4"/>
    <d v="2010-10-12T00:00:00"/>
    <x v="6"/>
    <n v="3.25"/>
    <n v="11.8"/>
  </r>
  <r>
    <x v="11"/>
    <x v="0"/>
    <x v="5"/>
    <x v="2"/>
    <x v="0"/>
    <n v="809"/>
    <n v="1997"/>
    <s v="2.0x1.4"/>
    <n v="0.73"/>
    <n v="1000"/>
    <n v="1370"/>
    <m/>
    <x v="93"/>
    <n v="6.3561643835616435"/>
    <n v="9.2799999999999994"/>
    <d v="2011-10-19T00:00:00"/>
    <x v="31"/>
    <n v="3.24"/>
    <n v="8.6999999999999993"/>
  </r>
  <r>
    <x v="12"/>
    <x v="0"/>
    <x v="5"/>
    <x v="2"/>
    <x v="0"/>
    <n v="809"/>
    <n v="1997"/>
    <s v="2.0x1.4"/>
    <n v="0.73"/>
    <n v="1000"/>
    <n v="1370"/>
    <m/>
    <x v="94"/>
    <n v="4.493150684931507"/>
    <n v="6.56"/>
    <d v="2012-10-03T00:00:00"/>
    <x v="19"/>
    <n v="3.2250000000000001"/>
    <n v="8.8500000000000014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6"/>
    <x v="6"/>
    <x v="2"/>
    <s v="UCD"/>
    <s v="75/83"/>
    <s v="10 x 7"/>
    <n v="5.31"/>
    <n v="3704"/>
    <n v="697.5517890772129"/>
    <n v="226"/>
    <x v="95"/>
    <n v="7.0131826741996246"/>
    <n v="20.107991360691145"/>
    <d v="2000-10-12T00:00:00"/>
    <x v="32"/>
    <n v="3.12"/>
    <n v="10.6"/>
  </r>
  <r>
    <x v="1"/>
    <x v="0"/>
    <x v="6"/>
    <x v="6"/>
    <x v="2"/>
    <s v="UCD"/>
    <s v="75/83"/>
    <s v="10 x 7"/>
    <n v="5.31"/>
    <n v="3704"/>
    <n v="697.5517890772129"/>
    <n v="250"/>
    <x v="96"/>
    <n v="8.6741996233521661"/>
    <n v="24.870410367170628"/>
    <d v="2002-10-04T00:00:00"/>
    <x v="33"/>
    <n v="3.2"/>
    <n v="8.8000000000000007"/>
  </r>
  <r>
    <x v="2"/>
    <x v="0"/>
    <x v="6"/>
    <x v="6"/>
    <x v="2"/>
    <s v="UCD"/>
    <s v="75/83"/>
    <s v="10 x 7"/>
    <n v="5.31"/>
    <n v="3704"/>
    <n v="697.5517890772129"/>
    <n v="266"/>
    <x v="97"/>
    <n v="6.7118644067796618"/>
    <n v="19.244060475161987"/>
    <d v="2003-10-08T00:00:00"/>
    <x v="34"/>
    <n v="3.33"/>
    <n v="7.2"/>
  </r>
  <r>
    <x v="13"/>
    <x v="1"/>
    <x v="1"/>
    <x v="1"/>
    <x v="1"/>
    <m/>
    <m/>
    <m/>
    <m/>
    <m/>
    <m/>
    <m/>
    <x v="13"/>
    <m/>
    <m/>
    <m/>
    <x v="10"/>
    <m/>
    <m/>
  </r>
  <r>
    <x v="3"/>
    <x v="0"/>
    <x v="0"/>
    <x v="7"/>
    <x v="2"/>
    <s v="UCD"/>
    <s v="75/83"/>
    <s v="10 x 7"/>
    <n v="2.86"/>
    <n v="2114"/>
    <n v="739.16083916083915"/>
    <n v="255"/>
    <x v="98"/>
    <n v="11.083916083916083"/>
    <n v="29.990539262062441"/>
    <d v="2003-10-06T00:00:00"/>
    <x v="17"/>
    <n v="3.4"/>
    <n v="5.3"/>
  </r>
  <r>
    <x v="4"/>
    <x v="0"/>
    <x v="0"/>
    <x v="7"/>
    <x v="2"/>
    <s v="UCD"/>
    <s v="75/83"/>
    <s v="10 x 7"/>
    <n v="2.86"/>
    <n v="2114"/>
    <n v="698"/>
    <n v="240"/>
    <x v="99"/>
    <n v="9.2657342657342667"/>
    <n v="25.070955534531695"/>
    <d v="2004-10-26T00:00:00"/>
    <x v="35"/>
    <n v="3.49"/>
    <n v="6"/>
  </r>
  <r>
    <x v="5"/>
    <x v="0"/>
    <x v="0"/>
    <x v="7"/>
    <x v="2"/>
    <s v="UCD"/>
    <s v="75/83"/>
    <s v="10 x 7"/>
    <n v="2.86"/>
    <n v="2114"/>
    <n v="698"/>
    <n v="274"/>
    <x v="100"/>
    <n v="12.832167832167833"/>
    <n v="34.720908230842007"/>
    <d v="2005-10-24T00:00:00"/>
    <x v="36"/>
    <n v="3.36"/>
    <n v="6"/>
  </r>
  <r>
    <x v="6"/>
    <x v="0"/>
    <x v="0"/>
    <x v="7"/>
    <x v="2"/>
    <s v="UCD"/>
    <s v="75/83"/>
    <s v="10 x 7"/>
    <n v="2.86"/>
    <n v="2114"/>
    <n v="698"/>
    <n v="298"/>
    <x v="100"/>
    <n v="12.832167832167833"/>
    <n v="34.720908230842007"/>
    <d v="2006-10-26T00:00:00"/>
    <x v="37"/>
    <n v="3.48"/>
    <n v="5.4"/>
  </r>
  <r>
    <x v="7"/>
    <x v="0"/>
    <x v="0"/>
    <x v="7"/>
    <x v="2"/>
    <s v="UCD"/>
    <s v="75/83"/>
    <s v="10 x 7"/>
    <n v="2.86"/>
    <n v="2114"/>
    <n v="698"/>
    <n v="343"/>
    <x v="101"/>
    <n v="20.524475524475527"/>
    <n v="55.53453169347209"/>
    <d v="2007-10-22T00:00:00"/>
    <x v="38"/>
    <n v="3.39"/>
    <n v="7.3"/>
  </r>
  <r>
    <x v="8"/>
    <x v="0"/>
    <x v="0"/>
    <x v="7"/>
    <x v="2"/>
    <s v="UCD"/>
    <s v="75/83"/>
    <s v="10 x 7"/>
    <n v="2.86"/>
    <n v="2114"/>
    <n v="698"/>
    <n v="245"/>
    <x v="102"/>
    <n v="13.286713286713287"/>
    <n v="35.950804162724694"/>
    <d v="2008-10-21T00:00:00"/>
    <x v="39"/>
    <n v="3.33"/>
    <n v="8.6"/>
  </r>
  <r>
    <x v="9"/>
    <x v="0"/>
    <x v="0"/>
    <x v="7"/>
    <x v="2"/>
    <s v="UCD"/>
    <s v="75/83"/>
    <s v="10 x 7"/>
    <n v="2.86"/>
    <n v="2114"/>
    <n v="698"/>
    <n v="220"/>
    <x v="103"/>
    <n v="13.041958041958042"/>
    <n v="35.288552507095552"/>
    <d v="2009-10-13T00:00:00"/>
    <x v="40"/>
    <n v="3.68"/>
    <n v="6"/>
  </r>
  <r>
    <x v="10"/>
    <x v="0"/>
    <x v="0"/>
    <x v="7"/>
    <x v="2"/>
    <s v="UCD"/>
    <s v="75/83"/>
    <s v="10 x 7"/>
    <n v="2.86"/>
    <n v="2114"/>
    <n v="698"/>
    <n v="300"/>
    <x v="104"/>
    <n v="10.41958041958042"/>
    <n v="28.192999053926208"/>
    <d v="2010-10-28T00:00:00"/>
    <x v="35"/>
    <n v="3.3"/>
    <n v="8"/>
  </r>
  <r>
    <x v="11"/>
    <x v="0"/>
    <x v="0"/>
    <x v="7"/>
    <x v="2"/>
    <s v="UCD"/>
    <s v="75/83"/>
    <s v="10 x 7"/>
    <n v="2.86"/>
    <n v="2114"/>
    <n v="698"/>
    <n v="225"/>
    <x v="105"/>
    <n v="8.9720279720279716"/>
    <n v="24.276253547776726"/>
    <d v="2011-11-02T00:00:00"/>
    <x v="41"/>
    <n v="3.37"/>
    <n v="7.2"/>
  </r>
  <r>
    <x v="12"/>
    <x v="0"/>
    <x v="0"/>
    <x v="7"/>
    <x v="2"/>
    <s v="UCD"/>
    <s v="75/83"/>
    <s v="10 x 7"/>
    <n v="2.86"/>
    <n v="2114"/>
    <n v="698"/>
    <n v="375"/>
    <x v="106"/>
    <n v="10.41958041958042"/>
    <n v="28.192999053926208"/>
    <s v="22 &amp; 24 Oct"/>
    <x v="42"/>
    <n v="3.3725000000000005"/>
    <n v="5.8674999999999997"/>
  </r>
  <r>
    <x v="13"/>
    <x v="1"/>
    <x v="1"/>
    <x v="1"/>
    <x v="1"/>
    <m/>
    <m/>
    <m/>
    <m/>
    <m/>
    <m/>
    <m/>
    <x v="13"/>
    <m/>
    <m/>
    <m/>
    <x v="10"/>
    <m/>
    <m/>
  </r>
  <r>
    <x v="3"/>
    <x v="0"/>
    <x v="2"/>
    <x v="5"/>
    <x v="2"/>
    <s v="UCD"/>
    <s v="75/83"/>
    <s v="10 x 7"/>
    <n v="2.4500000000000002"/>
    <n v="1590"/>
    <n v="648.9795918367347"/>
    <n v="180"/>
    <x v="107"/>
    <n v="5.6693877551020408"/>
    <n v="17.471698113207548"/>
    <d v="2003-10-03T00:00:00"/>
    <x v="43"/>
    <n v="3.42"/>
    <n v="5.7"/>
  </r>
  <r>
    <x v="4"/>
    <x v="0"/>
    <x v="2"/>
    <x v="5"/>
    <x v="2"/>
    <s v="UCD"/>
    <s v="75/83"/>
    <s v="10 x 7"/>
    <n v="2.4500000000000002"/>
    <n v="1590"/>
    <n v="698"/>
    <n v="300"/>
    <x v="108"/>
    <n v="7.4693877551020407"/>
    <n v="23.018867924528301"/>
    <d v="2004-10-27T00:00:00"/>
    <x v="44"/>
    <n v="3.5"/>
    <n v="6.2"/>
  </r>
  <r>
    <x v="5"/>
    <x v="0"/>
    <x v="2"/>
    <x v="5"/>
    <x v="2"/>
    <s v="UCD"/>
    <s v="75/83"/>
    <s v="10 x 7"/>
    <n v="2.4500000000000002"/>
    <n v="1590"/>
    <n v="698"/>
    <s v=" "/>
    <x v="109"/>
    <n v="5.4693877551020407"/>
    <n v="16.855345911949687"/>
    <d v="2005-10-26T00:00:00"/>
    <x v="44"/>
    <n v="3.39"/>
    <n v="5.7"/>
  </r>
  <r>
    <x v="6"/>
    <x v="0"/>
    <x v="2"/>
    <x v="5"/>
    <x v="2"/>
    <s v="UCD"/>
    <s v="75/83"/>
    <s v="10 x 7"/>
    <n v="2.4500000000000002"/>
    <n v="1590"/>
    <n v="698"/>
    <n v="284"/>
    <x v="110"/>
    <n v="7.1428571428571423"/>
    <n v="22.012578616352201"/>
    <d v="2006-10-25T00:00:00"/>
    <x v="35"/>
    <n v="3.5"/>
    <n v="6.2"/>
  </r>
  <r>
    <x v="7"/>
    <x v="0"/>
    <x v="2"/>
    <x v="5"/>
    <x v="2"/>
    <s v="UCD"/>
    <s v="75/83"/>
    <s v="10 x 7"/>
    <n v="2.4500000000000002"/>
    <n v="1590"/>
    <n v="698"/>
    <n v="303"/>
    <x v="111"/>
    <n v="9.7551020408163254"/>
    <n v="30.062893081761008"/>
    <d v="2007-10-18T00:00:00"/>
    <x v="39"/>
    <n v="3.55"/>
    <n v="7.5"/>
  </r>
  <r>
    <x v="8"/>
    <x v="0"/>
    <x v="2"/>
    <x v="5"/>
    <x v="2"/>
    <s v="UCD"/>
    <s v="75/83"/>
    <s v="10 x 7"/>
    <n v="2.4500000000000002"/>
    <n v="1590"/>
    <n v="698"/>
    <n v="245"/>
    <x v="112"/>
    <n v="8.0408163265306118"/>
    <n v="24.779874213836479"/>
    <d v="2008-10-21T00:00:00"/>
    <x v="44"/>
    <n v="3.41"/>
    <n v="7.7"/>
  </r>
  <r>
    <x v="9"/>
    <x v="0"/>
    <x v="2"/>
    <x v="5"/>
    <x v="2"/>
    <s v="UCD"/>
    <s v="75/83"/>
    <s v="10 x 7"/>
    <n v="2.4500000000000002"/>
    <n v="1590"/>
    <n v="698"/>
    <n v="280"/>
    <x v="113"/>
    <n v="6.8571428571428568"/>
    <n v="21.132075471698112"/>
    <d v="2009-10-13T00:00:00"/>
    <x v="17"/>
    <n v="3.58"/>
    <n v="5.9"/>
  </r>
  <r>
    <x v="10"/>
    <x v="0"/>
    <x v="2"/>
    <x v="5"/>
    <x v="2"/>
    <s v="UCD"/>
    <s v="75/83"/>
    <s v="10 x 7"/>
    <n v="2.4500000000000002"/>
    <n v="1590"/>
    <n v="698"/>
    <n v="230"/>
    <x v="114"/>
    <n v="5.9999999999999991"/>
    <n v="18.490566037735849"/>
    <d v="2010-10-26T00:00:00"/>
    <x v="31"/>
    <n v="3.42"/>
    <n v="7.2"/>
  </r>
  <r>
    <x v="11"/>
    <x v="0"/>
    <x v="2"/>
    <x v="5"/>
    <x v="2"/>
    <s v="UCD"/>
    <s v="75/83"/>
    <s v="10 x 7"/>
    <n v="2.4500000000000002"/>
    <n v="1590"/>
    <n v="698"/>
    <n v="210"/>
    <x v="115"/>
    <n v="4.963265306122449"/>
    <n v="15.29559748427673"/>
    <d v="2011-11-01T00:00:00"/>
    <x v="41"/>
    <n v="3.37"/>
    <n v="7.2"/>
  </r>
  <r>
    <x v="12"/>
    <x v="0"/>
    <x v="2"/>
    <x v="5"/>
    <x v="2"/>
    <s v="UCD"/>
    <s v="75/83"/>
    <s v="10 x 7"/>
    <n v="2.4500000000000002"/>
    <n v="1590"/>
    <n v="698"/>
    <n v="210"/>
    <x v="116"/>
    <n v="7.0408163265306118"/>
    <n v="21.69811320754717"/>
    <d v="2012-10-22T00:00:00"/>
    <x v="45"/>
    <n v="3.395"/>
    <n v="6.0649999999999995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2"/>
    <x v="8"/>
    <x v="3"/>
    <n v="220"/>
    <n v="1997"/>
    <s v="2.0x1.4"/>
    <n v="4.72"/>
    <n v="6500"/>
    <n v="1377.1186440677966"/>
    <n v="280"/>
    <x v="110"/>
    <n v="3.7076271186440679"/>
    <n v="5.384615384615385"/>
    <d v="2000-10-31T00:00:00"/>
    <x v="35"/>
    <n v="2.98"/>
    <n v="12.5"/>
  </r>
  <r>
    <x v="1"/>
    <x v="0"/>
    <x v="2"/>
    <x v="8"/>
    <x v="3"/>
    <n v="220"/>
    <n v="1997"/>
    <s v="2.0x1.4"/>
    <n v="4.72"/>
    <n v="6500"/>
    <n v="1377.1186440677966"/>
    <n v="298"/>
    <x v="117"/>
    <n v="4.53813559322034"/>
    <n v="6.5907692307692312"/>
    <d v="2001-10-24T00:00:00"/>
    <x v="46"/>
    <n v="2.9"/>
    <n v="12.3"/>
  </r>
  <r>
    <x v="2"/>
    <x v="0"/>
    <x v="2"/>
    <x v="8"/>
    <x v="3"/>
    <n v="220"/>
    <n v="1997"/>
    <s v="2.0x1.4"/>
    <n v="4.72"/>
    <n v="6500"/>
    <n v="1377.1186440677966"/>
    <n v="263"/>
    <x v="118"/>
    <n v="5.0006355932203395"/>
    <n v="7.2624615384615385"/>
    <d v="2003-10-20T00:00:00"/>
    <x v="6"/>
    <n v="3.08"/>
    <n v="8.6999999999999993"/>
  </r>
  <r>
    <x v="3"/>
    <x v="0"/>
    <x v="2"/>
    <x v="8"/>
    <x v="3"/>
    <n v="220"/>
    <n v="1997"/>
    <s v="2.0x1.4"/>
    <n v="4.72"/>
    <n v="6500"/>
    <n v="1377.1186440677966"/>
    <n v="335"/>
    <x v="119"/>
    <n v="5.148305084745763"/>
    <n v="7.476923076923077"/>
    <d v="2003-10-29T00:00:00"/>
    <x v="40"/>
    <n v="3.03"/>
    <n v="8.6999999999999993"/>
  </r>
  <r>
    <x v="4"/>
    <x v="0"/>
    <x v="2"/>
    <x v="8"/>
    <x v="3"/>
    <n v="220"/>
    <n v="1997"/>
    <s v="2.0x1.4"/>
    <n v="4.72"/>
    <n v="6500"/>
    <n v="1377"/>
    <n v="230"/>
    <x v="120"/>
    <n v="5.7627118644067794"/>
    <n v="8.3692307692307697"/>
    <d v="2004-10-28T00:00:00"/>
    <x v="47"/>
    <n v="3.24"/>
    <n v="7.7"/>
  </r>
  <r>
    <x v="5"/>
    <x v="0"/>
    <x v="2"/>
    <x v="8"/>
    <x v="3"/>
    <n v="220"/>
    <n v="1997"/>
    <s v="2.0x1.4"/>
    <n v="4.72"/>
    <n v="6500"/>
    <n v="1377"/>
    <n v="234"/>
    <x v="70"/>
    <n v="2.7966101694915255"/>
    <n v="4.0615384615384613"/>
    <d v="2005-10-15T00:00:00"/>
    <x v="6"/>
    <n v="3.08"/>
    <n v="9.1999999999999993"/>
  </r>
  <r>
    <x v="6"/>
    <x v="0"/>
    <x v="2"/>
    <x v="8"/>
    <x v="3"/>
    <n v="220"/>
    <n v="1997"/>
    <s v="2.0x1.4"/>
    <n v="4.72"/>
    <n v="6500"/>
    <n v="1377"/>
    <n v="210"/>
    <x v="121"/>
    <n v="7.4364406779661021"/>
    <n v="10.8"/>
    <d v="2006-10-31T00:00:00"/>
    <x v="21"/>
    <n v="3.3"/>
    <n v="7.7"/>
  </r>
  <r>
    <x v="7"/>
    <x v="0"/>
    <x v="2"/>
    <x v="8"/>
    <x v="3"/>
    <n v="220"/>
    <n v="1997"/>
    <s v="2.0x1.4"/>
    <n v="4.72"/>
    <n v="6500"/>
    <n v="1377"/>
    <n v="265"/>
    <x v="122"/>
    <n v="7.5423728813559325"/>
    <n v="10.953846153846154"/>
    <d v="2007-10-29T00:00:00"/>
    <x v="14"/>
    <n v="3.02"/>
    <n v="11"/>
  </r>
  <r>
    <x v="8"/>
    <x v="0"/>
    <x v="2"/>
    <x v="8"/>
    <x v="3"/>
    <n v="220"/>
    <n v="1997"/>
    <s v="2.0x1.4"/>
    <n v="4.72"/>
    <n v="6500"/>
    <n v="1377"/>
    <n v="268"/>
    <x v="123"/>
    <n v="7.5847457627118642"/>
    <n v="11.015384615384615"/>
    <d v="2008-10-29T00:00:00"/>
    <x v="6"/>
    <n v="3.3"/>
    <n v="10.95"/>
  </r>
  <r>
    <x v="9"/>
    <x v="0"/>
    <x v="2"/>
    <x v="8"/>
    <x v="3"/>
    <n v="220"/>
    <n v="1997"/>
    <s v="2.0x1.4"/>
    <n v="4.72"/>
    <n v="6500"/>
    <n v="1377"/>
    <n v="270"/>
    <x v="124"/>
    <n v="5.6779661016949161"/>
    <n v="8.2461538461538453"/>
    <d v="2009-10-15T00:00:00"/>
    <x v="24"/>
    <n v="3.42"/>
    <n v="7.6"/>
  </r>
  <r>
    <x v="10"/>
    <x v="0"/>
    <x v="2"/>
    <x v="8"/>
    <x v="3"/>
    <n v="220"/>
    <n v="1997"/>
    <s v="2.0x1.4"/>
    <n v="4.72"/>
    <n v="6500"/>
    <n v="1377"/>
    <n v="180"/>
    <x v="125"/>
    <n v="6.1016949152542379"/>
    <n v="8.861538461538462"/>
    <d v="2010-10-22T00:00:00"/>
    <x v="35"/>
    <n v="3.03"/>
    <n v="11"/>
  </r>
  <r>
    <x v="11"/>
    <x v="0"/>
    <x v="2"/>
    <x v="8"/>
    <x v="3"/>
    <n v="220"/>
    <n v="1997"/>
    <s v="2.0x1.4"/>
    <n v="4.72"/>
    <n v="6500"/>
    <n v="1377"/>
    <n v="215"/>
    <x v="126"/>
    <n v="4.5127118644067803"/>
    <n v="6.5538461538461537"/>
    <d v="2011-10-30T00:00:00"/>
    <x v="20"/>
    <n v="3.25"/>
    <n v="10.95"/>
  </r>
  <r>
    <x v="12"/>
    <x v="0"/>
    <x v="2"/>
    <x v="8"/>
    <x v="3"/>
    <n v="220"/>
    <n v="1997"/>
    <s v="2.0x1.4"/>
    <n v="4.72"/>
    <n v="6500"/>
    <n v="1377"/>
    <n v="220"/>
    <x v="127"/>
    <n v="4.8389830508474576"/>
    <n v="7.0276923076923081"/>
    <d v="2012-10-19T00:00:00"/>
    <x v="48"/>
    <n v="3.1666666666666665"/>
    <n v="9.7366666666666664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3"/>
    <x v="4"/>
    <x v="3"/>
    <m/>
    <m/>
    <m/>
    <n v="1.93"/>
    <n v="1373"/>
    <n v="711.39896373057002"/>
    <m/>
    <x v="128"/>
    <n v="4.2551813471502591"/>
    <n v="11.962855061908231"/>
    <d v="2000-10-31T00:00:00"/>
    <x v="44"/>
    <n v="2.9"/>
    <n v="13.5"/>
  </r>
  <r>
    <x v="1"/>
    <x v="0"/>
    <x v="3"/>
    <x v="4"/>
    <x v="3"/>
    <m/>
    <m/>
    <m/>
    <n v="1.93"/>
    <n v="1373"/>
    <n v="711.39896373057002"/>
    <n v="300"/>
    <x v="129"/>
    <n v="3.1761658031088085"/>
    <n v="8.9293517844136918"/>
    <d v="2001-10-25T00:00:00"/>
    <x v="41"/>
    <n v="2.86"/>
    <n v="12.5"/>
  </r>
  <r>
    <x v="2"/>
    <x v="0"/>
    <x v="3"/>
    <x v="4"/>
    <x v="3"/>
    <m/>
    <m/>
    <m/>
    <n v="1.93"/>
    <n v="1373"/>
    <n v="711.39896373057002"/>
    <m/>
    <x v="130"/>
    <n v="2.2487046632124352"/>
    <n v="6.3219227967953389"/>
    <d v="2003-10-20T00:00:00"/>
    <x v="27"/>
    <n v="3.18"/>
    <n v="8.5"/>
  </r>
  <r>
    <x v="3"/>
    <x v="0"/>
    <x v="3"/>
    <x v="4"/>
    <x v="3"/>
    <m/>
    <m/>
    <m/>
    <n v="1.93"/>
    <n v="1373"/>
    <n v="711.39896373057002"/>
    <n v="341"/>
    <x v="131"/>
    <n v="2.3005181347150261"/>
    <n v="6.4675892206846326"/>
    <d v="2003-10-30T00:00:00"/>
    <x v="49"/>
    <n v="3.15"/>
    <n v="7.9"/>
  </r>
  <r>
    <x v="4"/>
    <x v="0"/>
    <x v="3"/>
    <x v="4"/>
    <x v="3"/>
    <m/>
    <m/>
    <m/>
    <n v="1.93"/>
    <n v="1373"/>
    <n v="711"/>
    <n v="285"/>
    <x v="132"/>
    <n v="3.5233160621761659"/>
    <n v="9.90531682447196"/>
    <d v="2004-10-28T00:00:00"/>
    <x v="47"/>
    <n v="3.24"/>
    <n v="7.7"/>
  </r>
  <r>
    <x v="13"/>
    <x v="1"/>
    <x v="1"/>
    <x v="1"/>
    <x v="1"/>
    <m/>
    <m/>
    <m/>
    <m/>
    <m/>
    <m/>
    <m/>
    <x v="13"/>
    <m/>
    <m/>
    <m/>
    <x v="10"/>
    <m/>
    <m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5"/>
    <x v="9"/>
    <x v="4"/>
    <s v="UCD"/>
    <s v="94/89"/>
    <s v="8x4.5"/>
    <n v="1.78"/>
    <n v="2158"/>
    <n v="1212.3595505617977"/>
    <n v="114"/>
    <x v="133"/>
    <n v="5.3258426966292136"/>
    <n v="8.7859128822984243"/>
    <d v="2002-10-18T00:00:00"/>
    <x v="15"/>
    <n v="3.22"/>
    <n v="8.1"/>
  </r>
  <r>
    <x v="1"/>
    <x v="0"/>
    <x v="5"/>
    <x v="9"/>
    <x v="4"/>
    <s v="UCD"/>
    <s v="94/89"/>
    <s v="8x4.5"/>
    <n v="1.78"/>
    <n v="2158"/>
    <n v="1212.3595505617977"/>
    <n v="135"/>
    <x v="134"/>
    <n v="3.5730337078651688"/>
    <n v="5.8943466172381838"/>
    <d v="2002-10-15T00:00:00"/>
    <x v="12"/>
    <n v="3.37"/>
    <n v="7.4"/>
  </r>
  <r>
    <x v="2"/>
    <x v="0"/>
    <x v="5"/>
    <x v="9"/>
    <x v="4"/>
    <s v="UCD"/>
    <s v="94/89"/>
    <s v="8x4.5"/>
    <n v="1.78"/>
    <n v="2158"/>
    <n v="1212.3595505617977"/>
    <n v="132"/>
    <x v="135"/>
    <n v="3.0505617977528088"/>
    <n v="5.0324374420759961"/>
    <d v="2003-09-30T00:00:00"/>
    <x v="6"/>
    <n v="3.5"/>
    <n v="6"/>
  </r>
  <r>
    <x v="3"/>
    <x v="0"/>
    <x v="5"/>
    <x v="9"/>
    <x v="4"/>
    <s v="UCD"/>
    <s v="94/89"/>
    <s v="8x4.5"/>
    <n v="1.78"/>
    <n v="2158"/>
    <n v="1212.3595505617977"/>
    <n v="148"/>
    <x v="34"/>
    <n v="3.089887640449438"/>
    <n v="5.0973123262279891"/>
    <d v="2003-10-22T00:00:00"/>
    <x v="2"/>
    <n v="3.7"/>
    <n v="4.5"/>
  </r>
  <r>
    <x v="4"/>
    <x v="0"/>
    <x v="5"/>
    <x v="9"/>
    <x v="4"/>
    <s v="UCD"/>
    <s v="94/89"/>
    <s v="8x4.5"/>
    <n v="1.78"/>
    <n v="2158"/>
    <n v="1212"/>
    <n v="150"/>
    <x v="136"/>
    <n v="7.0224719101123592"/>
    <n v="11.584800741427248"/>
    <d v="2004-10-23T00:00:00"/>
    <x v="23"/>
    <n v="3.57"/>
    <n v="5.3"/>
  </r>
  <r>
    <x v="5"/>
    <x v="0"/>
    <x v="5"/>
    <x v="9"/>
    <x v="4"/>
    <s v="UCD"/>
    <s v="94/89"/>
    <s v="8x4.5"/>
    <n v="1.78"/>
    <n v="2158"/>
    <n v="1212"/>
    <n v="110"/>
    <x v="137"/>
    <n v="4.1011235955056176"/>
    <n v="6.7655236329935127"/>
    <d v="2005-10-18T00:00:00"/>
    <x v="23"/>
    <n v="3.46"/>
    <n v="5.0999999999999996"/>
  </r>
  <r>
    <x v="6"/>
    <x v="0"/>
    <x v="5"/>
    <x v="9"/>
    <x v="4"/>
    <s v="UCD"/>
    <s v="94/89"/>
    <s v="8x4.5"/>
    <n v="1.78"/>
    <n v="2158"/>
    <n v="1212"/>
    <n v="122"/>
    <x v="72"/>
    <n v="5.7303370786516847"/>
    <n v="9.4531974050046337"/>
    <d v="2006-10-12T00:00:00"/>
    <x v="9"/>
    <n v="3.52"/>
    <n v="5.5"/>
  </r>
  <r>
    <x v="7"/>
    <x v="0"/>
    <x v="5"/>
    <x v="9"/>
    <x v="4"/>
    <s v="UCD"/>
    <s v="94/89"/>
    <s v="8x4.5"/>
    <n v="1.78"/>
    <n v="2158"/>
    <n v="1212"/>
    <n v="168"/>
    <x v="138"/>
    <n v="7.6404494382022472"/>
    <n v="12.604263206672845"/>
    <d v="2007-10-12T00:00:00"/>
    <x v="47"/>
    <n v="3.35"/>
    <n v="8.9"/>
  </r>
  <r>
    <x v="8"/>
    <x v="0"/>
    <x v="5"/>
    <x v="9"/>
    <x v="4"/>
    <s v="UCD"/>
    <s v="94/89"/>
    <s v="8x4.5"/>
    <n v="1.78"/>
    <n v="2158"/>
    <n v="1212"/>
    <n v="152"/>
    <x v="6"/>
    <n v="6.0112359550561791"/>
    <n v="9.9165894346617236"/>
    <d v="2008-10-11T00:00:00"/>
    <x v="28"/>
    <n v="3.41"/>
    <n v="7.4"/>
  </r>
  <r>
    <x v="9"/>
    <x v="0"/>
    <x v="5"/>
    <x v="9"/>
    <x v="4"/>
    <s v="UCD"/>
    <s v="94/89"/>
    <s v="8x4.5"/>
    <n v="1.78"/>
    <n v="2158"/>
    <n v="1212"/>
    <n v="200"/>
    <x v="66"/>
    <n v="7.3595505617977528"/>
    <n v="12.140871177015756"/>
    <d v="2009-10-06T00:00:00"/>
    <x v="6"/>
    <n v="3.35"/>
    <n v="6.7"/>
  </r>
  <r>
    <x v="10"/>
    <x v="0"/>
    <x v="5"/>
    <x v="9"/>
    <x v="4"/>
    <s v="UCD"/>
    <s v="94/89"/>
    <s v="8x4.5"/>
    <n v="1.78"/>
    <n v="2158"/>
    <n v="1212"/>
    <n v="80"/>
    <x v="139"/>
    <n v="4.6629213483146073"/>
    <n v="7.6923076923076925"/>
    <d v="2010-10-19T00:00:00"/>
    <x v="6"/>
    <n v="3.38"/>
    <n v="8.3000000000000007"/>
  </r>
  <r>
    <x v="11"/>
    <x v="0"/>
    <x v="5"/>
    <x v="9"/>
    <x v="4"/>
    <s v="UCD"/>
    <s v="94/89"/>
    <s v="8x4.5"/>
    <n v="1.78"/>
    <n v="2158"/>
    <n v="1212"/>
    <n v="160"/>
    <x v="140"/>
    <n v="4.095505617977528"/>
    <n v="6.7562557924003706"/>
    <d v="2011-10-26T00:00:00"/>
    <x v="29"/>
    <n v="3.63"/>
    <n v="5.4"/>
  </r>
  <r>
    <x v="12"/>
    <x v="0"/>
    <x v="5"/>
    <x v="9"/>
    <x v="4"/>
    <s v="UCD"/>
    <s v="94/89"/>
    <s v="8x4.5"/>
    <n v="1.78"/>
    <n v="2158"/>
    <n v="1212"/>
    <n v="95"/>
    <x v="141"/>
    <n v="3.6235955056179776"/>
    <n v="5.9777571825764593"/>
    <d v="2012-10-05T00:00:00"/>
    <x v="21"/>
    <n v="3.24"/>
    <n v="6.5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0"/>
    <x v="5"/>
    <x v="5"/>
    <n v="7114"/>
    <n v="1982"/>
    <s v="9x4.5"/>
    <n v="2.2400000000000002"/>
    <n v="2416"/>
    <n v="1078.5714285714284"/>
    <n v="130"/>
    <x v="142"/>
    <n v="5.4374999999999991"/>
    <n v="10.082781456953642"/>
    <d v="2002-10-17T00:00:00"/>
    <x v="29"/>
    <n v="3.21"/>
    <n v="8.5"/>
  </r>
  <r>
    <x v="1"/>
    <x v="0"/>
    <x v="0"/>
    <x v="5"/>
    <x v="5"/>
    <n v="7114"/>
    <n v="1982"/>
    <s v="9x4.5"/>
    <n v="2.2400000000000002"/>
    <n v="2416"/>
    <n v="1078.5714285714284"/>
    <n v="136"/>
    <x v="143"/>
    <n v="7.0446428571428568"/>
    <n v="13.06291390728477"/>
    <d v="2002-10-03T00:00:00"/>
    <x v="21"/>
    <n v="3.34"/>
    <n v="8.1"/>
  </r>
  <r>
    <x v="2"/>
    <x v="0"/>
    <x v="0"/>
    <x v="5"/>
    <x v="5"/>
    <n v="7114"/>
    <n v="1982"/>
    <s v="9x4.5"/>
    <n v="2.2400000000000002"/>
    <n v="2416"/>
    <n v="1078.5714285714284"/>
    <m/>
    <x v="144"/>
    <n v="4.6741071428571423"/>
    <n v="8.6672185430463582"/>
    <d v="2003-10-14T00:00:00"/>
    <x v="50"/>
    <n v="3.44"/>
    <n v="9.5"/>
  </r>
  <r>
    <x v="2"/>
    <x v="0"/>
    <x v="0"/>
    <x v="5"/>
    <x v="5"/>
    <n v="7114"/>
    <n v="1982"/>
    <s v="9x4.5"/>
    <n v="2.2400000000000002"/>
    <n v="2417"/>
    <n v="1079.0178571428571"/>
    <m/>
    <x v="13"/>
    <m/>
    <m/>
    <d v="2003-11-19T00:00:00"/>
    <x v="51"/>
    <n v="3.94"/>
    <n v="5.3"/>
  </r>
  <r>
    <x v="3"/>
    <x v="0"/>
    <x v="0"/>
    <x v="5"/>
    <x v="5"/>
    <n v="7114"/>
    <n v="1982"/>
    <s v="9x4.5"/>
    <n v="2.2400000000000002"/>
    <n v="2416"/>
    <n v="1078.5714285714284"/>
    <m/>
    <x v="13"/>
    <m/>
    <m/>
    <m/>
    <x v="10"/>
    <m/>
    <m/>
  </r>
  <r>
    <x v="3"/>
    <x v="0"/>
    <x v="0"/>
    <x v="5"/>
    <x v="5"/>
    <n v="7114"/>
    <n v="1982"/>
    <s v="9x4.5"/>
    <n v="2.2400000000000002"/>
    <n v="2417"/>
    <n v="1079.0178571428571"/>
    <m/>
    <x v="58"/>
    <n v="5.9375"/>
    <n v="11.005378568473313"/>
    <d v="2003-11-04T00:00:00"/>
    <x v="52"/>
    <n v="3.6"/>
    <n v="7.5"/>
  </r>
  <r>
    <x v="4"/>
    <x v="0"/>
    <x v="0"/>
    <x v="5"/>
    <x v="5"/>
    <n v="7114"/>
    <n v="1982"/>
    <s v="9x4.5"/>
    <n v="2.2400000000000002"/>
    <n v="2416"/>
    <n v="1078.5714285714284"/>
    <m/>
    <x v="13"/>
    <m/>
    <m/>
    <m/>
    <x v="10"/>
    <m/>
    <m/>
  </r>
  <r>
    <x v="4"/>
    <x v="0"/>
    <x v="0"/>
    <x v="5"/>
    <x v="5"/>
    <n v="7114"/>
    <n v="1982"/>
    <s v="9x4.5"/>
    <n v="2.2400000000000002"/>
    <n v="2417"/>
    <n v="1079.0178571428571"/>
    <n v="120"/>
    <x v="145"/>
    <n v="6.5178571428571423"/>
    <n v="12.081092263136119"/>
    <d v="2004-10-14T00:00:00"/>
    <x v="53"/>
    <n v="3.54"/>
    <n v="9"/>
  </r>
  <r>
    <x v="5"/>
    <x v="0"/>
    <x v="0"/>
    <x v="5"/>
    <x v="5"/>
    <n v="7114"/>
    <n v="1982"/>
    <s v="9x4.5"/>
    <n v="2.2400000000000002"/>
    <n v="2416"/>
    <n v="1078.5714285714284"/>
    <n v="120"/>
    <x v="146"/>
    <n v="1.6964285714285712"/>
    <n v="3.1456953642384105"/>
    <d v="2005-10-26T00:00:00"/>
    <x v="54"/>
    <n v="3.55"/>
    <n v="7.6"/>
  </r>
  <r>
    <x v="5"/>
    <x v="0"/>
    <x v="0"/>
    <x v="5"/>
    <x v="5"/>
    <n v="7114"/>
    <n v="1982"/>
    <s v="9x4.5"/>
    <n v="2.2400000000000002"/>
    <n v="2417"/>
    <n v="1079.0178571428571"/>
    <n v="111"/>
    <x v="32"/>
    <n v="2.2321428571428568"/>
    <n v="4.1373603640877121"/>
    <d v="2005-10-27T00:00:00"/>
    <x v="23"/>
    <n v="3.56"/>
    <n v="6.4"/>
  </r>
  <r>
    <x v="6"/>
    <x v="0"/>
    <x v="0"/>
    <x v="5"/>
    <x v="5"/>
    <n v="7114"/>
    <n v="1982"/>
    <s v="9x4.5"/>
    <n v="2.2400000000000002"/>
    <n v="2416"/>
    <n v="1078.5714285714284"/>
    <m/>
    <x v="87"/>
    <n v="2.276785714285714"/>
    <n v="4.2218543046357615"/>
    <d v="2006-10-23T00:00:00"/>
    <x v="54"/>
    <n v="3.53"/>
    <n v="10.6"/>
  </r>
  <r>
    <x v="6"/>
    <x v="0"/>
    <x v="0"/>
    <x v="5"/>
    <x v="5"/>
    <n v="7114"/>
    <n v="1982"/>
    <s v="9x4.5"/>
    <n v="2.2400000000000002"/>
    <n v="2417"/>
    <n v="1079.0178571428571"/>
    <n v="136"/>
    <x v="55"/>
    <n v="6.3839285714285712"/>
    <n v="11.832850641290856"/>
    <d v="2006-10-23T00:00:00"/>
    <x v="0"/>
    <n v="3.53"/>
    <n v="6.3"/>
  </r>
  <r>
    <x v="7"/>
    <x v="0"/>
    <x v="0"/>
    <x v="5"/>
    <x v="5"/>
    <n v="7114"/>
    <n v="1982"/>
    <s v="9x4.5"/>
    <n v="4.4800000000000004"/>
    <n v="4833"/>
    <n v="1078.7946428571427"/>
    <m/>
    <x v="69"/>
    <n v="3.1473214285714284"/>
    <n v="5.8348851644941027"/>
    <d v="2007-10-26T00:00:00"/>
    <x v="55"/>
    <n v="3.67"/>
    <n v="7.1"/>
  </r>
  <r>
    <x v="8"/>
    <x v="0"/>
    <x v="0"/>
    <x v="5"/>
    <x v="5"/>
    <n v="7114"/>
    <n v="1982"/>
    <s v="9x4.5"/>
    <n v="2.2400000000000002"/>
    <n v="2416"/>
    <n v="1078.5714285714284"/>
    <m/>
    <x v="147"/>
    <n v="4.2410714285714279"/>
    <n v="7.8642384105960268"/>
    <d v="2008-10-28T00:00:00"/>
    <x v="54"/>
    <n v="3.72"/>
    <n v="7.5"/>
  </r>
  <r>
    <x v="9"/>
    <x v="0"/>
    <x v="0"/>
    <x v="5"/>
    <x v="5"/>
    <n v="7114"/>
    <n v="1982"/>
    <s v="9x4.5"/>
    <n v="4.4800000000000004"/>
    <n v="4833"/>
    <n v="1078.7946428571427"/>
    <n v="123"/>
    <x v="65"/>
    <n v="1.7857142857142856"/>
    <n v="3.3105731429753775"/>
    <d v="2009-10-16T00:00:00"/>
    <x v="56"/>
    <n v="3.79"/>
    <n v="7.6"/>
  </r>
  <r>
    <x v="11"/>
    <x v="0"/>
    <x v="0"/>
    <x v="5"/>
    <x v="5"/>
    <n v="7114"/>
    <n v="1982"/>
    <s v="9x4.5"/>
    <n v="4.4800000000000004"/>
    <n v="4833"/>
    <n v="1078.7946428571427"/>
    <m/>
    <x v="148"/>
    <n v="1.328125"/>
    <n v="2.4622387750879371"/>
    <d v="2011-10-25T00:00:00"/>
    <x v="56"/>
    <n v="3.66"/>
    <n v="8.9"/>
  </r>
  <r>
    <x v="12"/>
    <x v="0"/>
    <x v="0"/>
    <x v="5"/>
    <x v="5"/>
    <n v="7114"/>
    <n v="1982"/>
    <s v="9x4.5"/>
    <n v="4.4800000000000004"/>
    <n v="4833"/>
    <n v="1078.7946428571427"/>
    <n v="112.5"/>
    <x v="149"/>
    <n v="3.0937499999999996"/>
    <n v="5.7355679702048414"/>
    <d v="2012-10-11T00:00:00"/>
    <x v="7"/>
    <n v="3.64"/>
    <n v="6.6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0"/>
    <x v="5"/>
    <x v="6"/>
    <n v="7114"/>
    <n v="1982"/>
    <s v="9x4.5"/>
    <n v="2.2400000000000002"/>
    <n v="2417"/>
    <n v="1079.0178571428571"/>
    <n v="129"/>
    <x v="150"/>
    <m/>
    <m/>
    <d v="2000-10-16T00:00:00"/>
    <x v="57"/>
    <n v="3.18"/>
    <n v="10.4"/>
  </r>
  <r>
    <x v="1"/>
    <x v="0"/>
    <x v="0"/>
    <x v="5"/>
    <x v="6"/>
    <n v="7114"/>
    <n v="1982"/>
    <s v="9x4.5"/>
    <n v="2.2400000000000002"/>
    <n v="2417"/>
    <n v="1079.0178571428571"/>
    <n v="111"/>
    <x v="151"/>
    <m/>
    <m/>
    <d v="2002-10-02T00:00:00"/>
    <x v="58"/>
    <n v="3.41"/>
    <n v="7.8"/>
  </r>
  <r>
    <x v="8"/>
    <x v="0"/>
    <x v="0"/>
    <x v="5"/>
    <x v="6"/>
    <n v="7114"/>
    <m/>
    <s v="9x4.5"/>
    <n v="2.2400000000000002"/>
    <n v="2417"/>
    <n v="1079.0178571428571"/>
    <m/>
    <x v="7"/>
    <n v="2.4999999999999996"/>
    <n v="4.6338436077782372"/>
    <d v="2008-10-27T00:00:00"/>
    <x v="59"/>
    <n v="3.79"/>
    <n v="9.1999999999999993"/>
  </r>
  <r>
    <x v="10"/>
    <x v="0"/>
    <x v="0"/>
    <x v="5"/>
    <x v="6"/>
    <n v="7114"/>
    <n v="1982"/>
    <s v="9x4.5"/>
    <n v="4.4800000000000004"/>
    <n v="4833"/>
    <n v="1078.7946428571427"/>
    <n v="35"/>
    <x v="152"/>
    <n v="1.5624999999999998"/>
    <n v="2.8967515001034556"/>
    <d v="2010-10-08T00:00:00"/>
    <x v="60"/>
    <n v="3.45"/>
    <n v="14"/>
  </r>
  <r>
    <x v="12"/>
    <x v="0"/>
    <x v="0"/>
    <x v="5"/>
    <x v="6"/>
    <n v="7114"/>
    <n v="1983"/>
    <s v="9x4.6"/>
    <n v="4.4800000000000004"/>
    <n v="4833"/>
    <n v="1078.7946428571427"/>
    <m/>
    <x v="153"/>
    <n v="0.58482142857142849"/>
    <n v="1.0842127043244361"/>
    <d v="2012-10-11T00:00:00"/>
    <x v="61"/>
    <n v="3.67"/>
    <n v="8.5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0"/>
    <x v="3"/>
    <x v="7"/>
    <n v="55"/>
    <n v="1997"/>
    <s v="2.1x1.4"/>
    <n v="4.5"/>
    <n v="4059"/>
    <n v="902"/>
    <n v="250"/>
    <x v="154"/>
    <n v="4.2022222222222219"/>
    <n v="9.3175659029317561"/>
    <d v="2002-10-30T00:00:00"/>
    <x v="36"/>
    <n v="3.05"/>
    <n v="10.3"/>
  </r>
  <r>
    <x v="1"/>
    <x v="0"/>
    <x v="0"/>
    <x v="3"/>
    <x v="7"/>
    <n v="55"/>
    <n v="1997"/>
    <s v="2.1x1.4"/>
    <n v="4.5"/>
    <n v="4059"/>
    <n v="902"/>
    <n v="261"/>
    <x v="155"/>
    <n v="3.2"/>
    <n v="7.0953436807095347"/>
    <d v="2002-10-16T00:00:00"/>
    <x v="31"/>
    <n v="3.29"/>
    <n v="10.7"/>
  </r>
  <r>
    <x v="2"/>
    <x v="0"/>
    <x v="0"/>
    <x v="3"/>
    <x v="7"/>
    <n v="55"/>
    <n v="1997"/>
    <s v="2.1x1.4"/>
    <n v="4.5"/>
    <n v="4059"/>
    <n v="902"/>
    <n v="260"/>
    <x v="156"/>
    <n v="3.9755555555555557"/>
    <n v="8.814979058881498"/>
    <d v="2003-10-11T00:00:00"/>
    <x v="6"/>
    <n v="3.46"/>
    <n v="5.7"/>
  </r>
  <r>
    <x v="3"/>
    <x v="0"/>
    <x v="0"/>
    <x v="3"/>
    <x v="7"/>
    <n v="55"/>
    <n v="1997"/>
    <s v="2.1x1.4"/>
    <n v="4.5"/>
    <n v="4059"/>
    <n v="902"/>
    <n v="205"/>
    <x v="157"/>
    <n v="4.4666666666666668"/>
    <n v="9.9039172209903921"/>
    <d v="2003-10-14T00:00:00"/>
    <x v="6"/>
    <n v="3.41"/>
    <n v="4.9000000000000004"/>
  </r>
  <r>
    <x v="4"/>
    <x v="0"/>
    <x v="0"/>
    <x v="3"/>
    <x v="7"/>
    <n v="55"/>
    <n v="1997"/>
    <s v="2.1x1.4"/>
    <n v="4.5"/>
    <n v="4059"/>
    <n v="1376"/>
    <n v="283"/>
    <x v="158"/>
    <n v="4.666666666666667"/>
    <n v="10.347376201034738"/>
    <d v="2004-10-15T00:00:00"/>
    <x v="6"/>
    <n v="3.48"/>
    <n v="5.2"/>
  </r>
  <r>
    <x v="5"/>
    <x v="0"/>
    <x v="0"/>
    <x v="3"/>
    <x v="7"/>
    <n v="55"/>
    <n v="1997"/>
    <s v="2.1x1.4"/>
    <n v="4.5"/>
    <n v="4059"/>
    <n v="1376"/>
    <n v="230"/>
    <x v="19"/>
    <n v="2.7555555555555555"/>
    <n v="6.1098792806109881"/>
    <d v="2005-10-11T00:00:00"/>
    <x v="1"/>
    <n v="3.2"/>
    <n v="7.6"/>
  </r>
  <r>
    <x v="6"/>
    <x v="0"/>
    <x v="0"/>
    <x v="3"/>
    <x v="7"/>
    <n v="55"/>
    <n v="1997"/>
    <s v="2.1x1.4"/>
    <n v="4.5"/>
    <n v="4059"/>
    <n v="1376"/>
    <n v="230"/>
    <x v="159"/>
    <n v="7.2666666666666675"/>
    <n v="16.112342941611235"/>
    <d v="2006-10-30T00:00:00"/>
    <x v="62"/>
    <n v="3.38"/>
    <n v="5.4"/>
  </r>
  <r>
    <x v="7"/>
    <x v="0"/>
    <x v="0"/>
    <x v="3"/>
    <x v="7"/>
    <n v="55"/>
    <n v="1997"/>
    <s v="2.1x1.4"/>
    <n v="3.63"/>
    <n v="4059"/>
    <n v="1376"/>
    <n v="230"/>
    <x v="160"/>
    <n v="1.1294765840220384"/>
    <n v="2.0202020202020203"/>
    <d v="2007-10-16T00:00:00"/>
    <x v="22"/>
    <n v="3.4"/>
    <n v="7"/>
  </r>
  <r>
    <x v="8"/>
    <x v="0"/>
    <x v="0"/>
    <x v="3"/>
    <x v="7"/>
    <n v="55"/>
    <n v="1997"/>
    <s v="2.1x1.4"/>
    <n v="3.63"/>
    <n v="4059"/>
    <n v="1376"/>
    <n v="232"/>
    <x v="161"/>
    <n v="7.8236914600550964"/>
    <n v="13.993594481399359"/>
    <d v="2008-10-17T00:00:00"/>
    <x v="36"/>
    <n v="3.27"/>
    <n v="11.3"/>
  </r>
  <r>
    <x v="9"/>
    <x v="0"/>
    <x v="0"/>
    <x v="3"/>
    <x v="7"/>
    <n v="55"/>
    <n v="1997"/>
    <s v="2.1x1.4"/>
    <n v="3.63"/>
    <n v="4059"/>
    <n v="1376"/>
    <n v="245"/>
    <x v="162"/>
    <n v="3.0853994490358128"/>
    <n v="5.5186006405518597"/>
    <d v="2009-10-07T00:00:00"/>
    <x v="63"/>
    <n v="3.69"/>
    <n v="5.7"/>
  </r>
  <r>
    <x v="10"/>
    <x v="0"/>
    <x v="0"/>
    <x v="3"/>
    <x v="7"/>
    <n v="55"/>
    <n v="1997"/>
    <s v="2.1x1.4"/>
    <n v="3.63"/>
    <n v="4059"/>
    <n v="1376"/>
    <n v="153"/>
    <x v="163"/>
    <n v="4.7933884297520661"/>
    <n v="8.5735402808573546"/>
    <d v="2010-10-13T00:00:00"/>
    <x v="14"/>
    <n v="3.35"/>
    <n v="8.6999999999999993"/>
  </r>
  <r>
    <x v="11"/>
    <x v="0"/>
    <x v="0"/>
    <x v="3"/>
    <x v="7"/>
    <n v="55"/>
    <n v="1997"/>
    <s v="2.1x1.4"/>
    <n v="3.63"/>
    <n v="4059"/>
    <n v="1376"/>
    <n v="230"/>
    <x v="164"/>
    <n v="2.3746556473829199"/>
    <n v="4.2473515644247355"/>
    <d v="2011-10-30T00:00:00"/>
    <x v="14"/>
    <n v="3.4"/>
    <n v="7.4"/>
  </r>
  <r>
    <x v="12"/>
    <x v="0"/>
    <x v="0"/>
    <x v="3"/>
    <x v="7"/>
    <n v="55"/>
    <n v="1997"/>
    <s v="2.1x1.4"/>
    <n v="3.63"/>
    <n v="4059"/>
    <n v="1376"/>
    <n v="240"/>
    <x v="165"/>
    <n v="5.5840220385674932"/>
    <n v="9.9876816949987681"/>
    <d v="2012-10-15T00:00:00"/>
    <x v="47"/>
    <n v="3.3449999999999998"/>
    <n v="6.82"/>
  </r>
  <r>
    <x v="13"/>
    <x v="1"/>
    <x v="1"/>
    <x v="1"/>
    <x v="1"/>
    <m/>
    <m/>
    <m/>
    <m/>
    <m/>
    <m/>
    <m/>
    <x v="13"/>
    <m/>
    <m/>
    <m/>
    <x v="10"/>
    <m/>
    <m/>
  </r>
  <r>
    <x v="1"/>
    <x v="0"/>
    <x v="0"/>
    <x v="2"/>
    <x v="8"/>
    <s v="21B"/>
    <n v="1982"/>
    <s v="9x4.5"/>
    <n v="5.13"/>
    <n v="5536"/>
    <n v="1079.1423001949317"/>
    <n v="195"/>
    <x v="166"/>
    <n v="2.4093567251461989"/>
    <n v="4.4653179190751446"/>
    <d v="2002-10-20T00:00:00"/>
    <x v="20"/>
    <n v="2.68"/>
    <n v="12.9"/>
  </r>
  <r>
    <x v="2"/>
    <x v="0"/>
    <x v="0"/>
    <x v="2"/>
    <x v="8"/>
    <s v="21B"/>
    <n v="1982"/>
    <s v="9x4.5"/>
    <n v="5.13"/>
    <n v="5536"/>
    <n v="1079.1423001949317"/>
    <n v="173"/>
    <x v="167"/>
    <n v="2.2105263157894739"/>
    <n v="4.0968208092485545"/>
    <d v="2003-10-23T00:00:00"/>
    <x v="6"/>
    <n v="3.08"/>
    <n v="9.8000000000000007"/>
  </r>
  <r>
    <x v="3"/>
    <x v="0"/>
    <x v="0"/>
    <x v="2"/>
    <x v="8"/>
    <s v="21B"/>
    <n v="1982"/>
    <s v="9x4.5"/>
    <n v="5.13"/>
    <n v="5536"/>
    <n v="1079.1423001949317"/>
    <n v="170"/>
    <x v="119"/>
    <n v="4.7368421052631584"/>
    <n v="8.7789017341040463"/>
    <d v="2003-11-01T00:00:00"/>
    <x v="21"/>
    <n v="3.24"/>
    <n v="7.05"/>
  </r>
  <r>
    <x v="4"/>
    <x v="0"/>
    <x v="0"/>
    <x v="2"/>
    <x v="8"/>
    <s v="21B"/>
    <n v="1982"/>
    <s v="9x4.5"/>
    <n v="5.13"/>
    <n v="5536"/>
    <n v="1079"/>
    <n v="155"/>
    <x v="168"/>
    <n v="6.4327485380116958"/>
    <n v="11.921965317919074"/>
    <d v="2004-11-01T00:00:00"/>
    <x v="19"/>
    <n v="3.08"/>
    <n v="9.1999999999999993"/>
  </r>
  <r>
    <x v="5"/>
    <x v="0"/>
    <x v="0"/>
    <x v="2"/>
    <x v="8"/>
    <s v="21B"/>
    <n v="1982"/>
    <s v="9x4.5"/>
    <n v="5.13"/>
    <n v="5536"/>
    <n v="1079"/>
    <n v="167"/>
    <x v="99"/>
    <n v="5.1656920077972712"/>
    <n v="9.5736994219653173"/>
    <d v="2005-10-28T00:00:00"/>
    <x v="54"/>
    <n v="3.23"/>
    <n v="8.1"/>
  </r>
  <r>
    <x v="6"/>
    <x v="0"/>
    <x v="0"/>
    <x v="2"/>
    <x v="8"/>
    <s v="21B"/>
    <n v="1982"/>
    <s v="9x4.5"/>
    <n v="5.13"/>
    <n v="5536"/>
    <n v="1079"/>
    <m/>
    <x v="169"/>
    <n v="7.3489278752436658"/>
    <n v="13.619942196531792"/>
    <d v="2006-11-02T00:00:00"/>
    <x v="31"/>
    <n v="3.28"/>
    <n v="8"/>
  </r>
  <r>
    <x v="7"/>
    <x v="0"/>
    <x v="0"/>
    <x v="2"/>
    <x v="8"/>
    <s v="21B"/>
    <n v="1982"/>
    <s v="9x4.5"/>
    <n v="5.13"/>
    <n v="5536"/>
    <n v="1079"/>
    <n v="196"/>
    <x v="170"/>
    <n v="6.0136452241715403"/>
    <n v="11.145231213872833"/>
    <d v="2007-11-05T00:00:00"/>
    <x v="14"/>
    <n v="3.09"/>
    <n v="11.3"/>
  </r>
  <r>
    <x v="8"/>
    <x v="0"/>
    <x v="0"/>
    <x v="2"/>
    <x v="8"/>
    <s v="21B"/>
    <n v="1982"/>
    <s v="9x4.5"/>
    <n v="5.13"/>
    <n v="5536"/>
    <n v="1079"/>
    <n v="145"/>
    <x v="171"/>
    <n v="6.3157894736842106"/>
    <n v="11.705202312138729"/>
    <d v="2008-11-03T00:00:00"/>
    <x v="19"/>
    <n v="3.11"/>
    <n v="12.2"/>
  </r>
  <r>
    <x v="9"/>
    <x v="0"/>
    <x v="0"/>
    <x v="2"/>
    <x v="8"/>
    <s v="21B"/>
    <n v="1982"/>
    <s v="9x4.5"/>
    <n v="5.13"/>
    <n v="5536"/>
    <n v="1079"/>
    <n v="215"/>
    <x v="172"/>
    <n v="5.5555555555555554"/>
    <n v="10.296242774566474"/>
    <d v="2009-10-19T00:00:00"/>
    <x v="6"/>
    <n v="3.29"/>
    <n v="9.6"/>
  </r>
  <r>
    <x v="10"/>
    <x v="0"/>
    <x v="0"/>
    <x v="2"/>
    <x v="8"/>
    <s v="21B"/>
    <n v="1982"/>
    <s v="9x4.5"/>
    <n v="5.13"/>
    <n v="5536"/>
    <n v="1079"/>
    <m/>
    <x v="173"/>
    <n v="4.5029239766081872"/>
    <n v="8.345375722543352"/>
    <d v="2010-11-01T00:00:00"/>
    <x v="14"/>
    <n v="3.07"/>
    <n v="11.3"/>
  </r>
  <r>
    <x v="11"/>
    <x v="0"/>
    <x v="0"/>
    <x v="2"/>
    <x v="8"/>
    <s v="21B"/>
    <n v="1982"/>
    <s v="9x4.5"/>
    <n v="5.13"/>
    <n v="5536"/>
    <n v="1079"/>
    <n v="230"/>
    <x v="174"/>
    <n v="3.8304093567251458"/>
    <n v="7.0989884393063587"/>
    <d v="2011-11-02T00:00:00"/>
    <x v="35"/>
    <n v="3.1"/>
    <n v="10.199999999999999"/>
  </r>
  <r>
    <x v="12"/>
    <x v="0"/>
    <x v="0"/>
    <x v="2"/>
    <x v="8"/>
    <s v="21B"/>
    <n v="1982"/>
    <s v="9x4.5"/>
    <n v="5.13"/>
    <n v="5536"/>
    <n v="1079"/>
    <m/>
    <x v="175"/>
    <n v="4.2397660818713447"/>
    <n v="7.8576589595375719"/>
    <s v="24 &amp; 25 Oct"/>
    <x v="47"/>
    <n v="3.0350000000000001"/>
    <n v="10.175000000000001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2"/>
    <x v="4"/>
    <x v="8"/>
    <s v="21B"/>
    <n v="1987"/>
    <s v="9x4.5"/>
    <n v="2.86"/>
    <n v="3078"/>
    <n v="1076.2237762237762"/>
    <n v="213"/>
    <x v="176"/>
    <n v="4.6314685314685322"/>
    <n v="8.6068875893437298"/>
    <d v="2000-10-28T00:00:00"/>
    <x v="37"/>
    <n v="2.85"/>
    <n v="13.8"/>
  </r>
  <r>
    <x v="1"/>
    <x v="0"/>
    <x v="2"/>
    <x v="4"/>
    <x v="8"/>
    <s v="21B"/>
    <n v="1987"/>
    <s v="9x4.5"/>
    <n v="2.86"/>
    <n v="3078"/>
    <n v="1076.2237762237762"/>
    <m/>
    <x v="13"/>
    <n v="0"/>
    <n v="0"/>
    <m/>
    <x v="10"/>
    <m/>
    <m/>
  </r>
  <r>
    <x v="2"/>
    <x v="0"/>
    <x v="2"/>
    <x v="4"/>
    <x v="8"/>
    <s v="21B"/>
    <n v="1987"/>
    <s v="9x4.5"/>
    <n v="2.86"/>
    <n v="3078"/>
    <n v="1076.2237762237762"/>
    <n v="156"/>
    <x v="177"/>
    <n v="4.4160839160839167"/>
    <n v="8.2066276803118914"/>
    <d v="2003-10-22T00:00:00"/>
    <x v="28"/>
    <n v="2.91"/>
    <n v="12"/>
  </r>
  <r>
    <x v="3"/>
    <x v="0"/>
    <x v="2"/>
    <x v="4"/>
    <x v="8"/>
    <s v="21B"/>
    <n v="1987"/>
    <s v="9x4.5"/>
    <n v="2.86"/>
    <n v="3078"/>
    <n v="1076.2237762237762"/>
    <n v="170"/>
    <x v="178"/>
    <n v="3.3566433566433567"/>
    <n v="6.2378167641325533"/>
    <d v="2003-10-31T00:00:00"/>
    <x v="13"/>
    <n v="3.11"/>
    <n v="8.4"/>
  </r>
  <r>
    <x v="4"/>
    <x v="0"/>
    <x v="2"/>
    <x v="4"/>
    <x v="8"/>
    <s v="21B"/>
    <n v="1987"/>
    <s v="9x4.5"/>
    <n v="2.86"/>
    <n v="3078"/>
    <n v="1076"/>
    <n v="203"/>
    <x v="179"/>
    <n v="4.0209790209790208"/>
    <n v="7.4723846653671213"/>
    <d v="2004-10-30T00:00:00"/>
    <x v="47"/>
    <n v="3.01"/>
    <n v="9.9"/>
  </r>
  <r>
    <x v="5"/>
    <x v="0"/>
    <x v="2"/>
    <x v="4"/>
    <x v="8"/>
    <s v="21B"/>
    <n v="1987"/>
    <s v="9x4.5"/>
    <n v="2.86"/>
    <n v="3078"/>
    <n v="1076"/>
    <n v="178"/>
    <x v="136"/>
    <n v="4.3706293706293708"/>
    <n v="8.1221572449642618"/>
    <d v="2005-10-28T00:00:00"/>
    <x v="15"/>
    <n v="2.93"/>
    <n v="10.5"/>
  </r>
  <r>
    <x v="6"/>
    <x v="0"/>
    <x v="2"/>
    <x v="4"/>
    <x v="8"/>
    <s v="21B"/>
    <n v="1987"/>
    <s v="9x4.5"/>
    <n v="2.86"/>
    <n v="3078"/>
    <n v="1076"/>
    <m/>
    <x v="180"/>
    <n v="4.895104895104895"/>
    <n v="9.0968161143599744"/>
    <d v="2006-10-31T00:00:00"/>
    <x v="15"/>
    <n v="3.15"/>
    <n v="8.9"/>
  </r>
  <r>
    <x v="7"/>
    <x v="0"/>
    <x v="2"/>
    <x v="4"/>
    <x v="8"/>
    <s v="21B"/>
    <n v="1987"/>
    <s v="9x4.5"/>
    <n v="2.86"/>
    <n v="3078"/>
    <n v="1076"/>
    <n v="165"/>
    <x v="181"/>
    <n v="4.1608391608391608"/>
    <n v="7.7322936972059777"/>
    <d v="2007-10-30T00:00:00"/>
    <x v="20"/>
    <n v="3"/>
    <n v="10.4"/>
  </r>
  <r>
    <x v="8"/>
    <x v="0"/>
    <x v="2"/>
    <x v="4"/>
    <x v="8"/>
    <s v="21B"/>
    <n v="1987"/>
    <s v="9x4.5"/>
    <n v="2.86"/>
    <n v="3078"/>
    <n v="1076"/>
    <n v="145"/>
    <x v="87"/>
    <n v="1.7832167832167831"/>
    <n v="3.3138401559454191"/>
    <d v="2008-11-04T00:00:00"/>
    <x v="31"/>
    <n v="3.1"/>
    <n v="12.2"/>
  </r>
  <r>
    <x v="9"/>
    <x v="0"/>
    <x v="2"/>
    <x v="4"/>
    <x v="8"/>
    <s v="21B"/>
    <n v="1987"/>
    <s v="9x4.5"/>
    <n v="2.86"/>
    <n v="3078"/>
    <n v="1076"/>
    <n v="170"/>
    <x v="6"/>
    <n v="3.7412587412587412"/>
    <n v="6.9525666016894085"/>
    <d v="2009-10-19T00:00:00"/>
    <x v="28"/>
    <n v="3.21"/>
    <n v="10.3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4"/>
    <x v="4"/>
    <x v="9"/>
    <s v="21B"/>
    <n v="1981"/>
    <s v="8.2x4.5"/>
    <n v="2.23"/>
    <n v="2614"/>
    <n v="1172.1973094170403"/>
    <m/>
    <x v="182"/>
    <m/>
    <m/>
    <d v="2002-12-12T00:00:00"/>
    <x v="64"/>
    <n v="2.66"/>
    <n v="17.899999999999999"/>
  </r>
  <r>
    <x v="1"/>
    <x v="0"/>
    <x v="4"/>
    <x v="4"/>
    <x v="10"/>
    <s v="21B"/>
    <n v="1981"/>
    <s v="8.2x4.5"/>
    <n v="2.23"/>
    <n v="2614"/>
    <n v="1172.1973094170403"/>
    <m/>
    <x v="136"/>
    <m/>
    <m/>
    <d v="2002-01-29T00:00:00"/>
    <x v="65"/>
    <n v="3.16"/>
    <n v="11.5"/>
  </r>
  <r>
    <x v="2"/>
    <x v="0"/>
    <x v="4"/>
    <x v="4"/>
    <x v="10"/>
    <s v="21B"/>
    <n v="1981"/>
    <s v="8.2x4.5"/>
    <n v="2.23"/>
    <n v="2614"/>
    <n v="1172.1973094170403"/>
    <m/>
    <x v="183"/>
    <m/>
    <m/>
    <m/>
    <x v="10"/>
    <m/>
    <m/>
  </r>
  <r>
    <x v="3"/>
    <x v="0"/>
    <x v="4"/>
    <x v="4"/>
    <x v="9"/>
    <s v="21B"/>
    <n v="1981"/>
    <s v="8.2x4.5"/>
    <n v="2.23"/>
    <n v="2614"/>
    <n v="1172.1973094170403"/>
    <m/>
    <x v="54"/>
    <m/>
    <m/>
    <d v="2003-11-22T00:00:00"/>
    <x v="66"/>
    <n v="3.38"/>
    <n v="7.3"/>
  </r>
  <r>
    <x v="4"/>
    <x v="0"/>
    <x v="4"/>
    <x v="4"/>
    <x v="9"/>
    <s v="21B"/>
    <n v="1981"/>
    <s v="8.2x4.5"/>
    <n v="2.23"/>
    <n v="2614"/>
    <n v="1172"/>
    <m/>
    <x v="184"/>
    <m/>
    <m/>
    <d v="2005-01-02T00:00:00"/>
    <x v="67"/>
    <m/>
    <m/>
  </r>
  <r>
    <x v="5"/>
    <x v="0"/>
    <x v="4"/>
    <x v="4"/>
    <x v="9"/>
    <s v="21B"/>
    <n v="1981"/>
    <s v="8.2x4.5"/>
    <n v="2.23"/>
    <n v="2614"/>
    <n v="1172"/>
    <m/>
    <x v="185"/>
    <m/>
    <m/>
    <d v="2006-02-17T00:00:00"/>
    <x v="59"/>
    <n v="3.08"/>
    <n v="9.5"/>
  </r>
  <r>
    <x v="6"/>
    <x v="0"/>
    <x v="4"/>
    <x v="4"/>
    <x v="9"/>
    <s v="21B"/>
    <n v="1981"/>
    <s v="8.2x4.5"/>
    <n v="2.23"/>
    <n v="2614"/>
    <n v="1172"/>
    <n v="156"/>
    <x v="186"/>
    <m/>
    <m/>
    <d v="2006-11-23T00:00:00"/>
    <x v="68"/>
    <n v="3.23"/>
    <n v="15.5"/>
  </r>
  <r>
    <x v="7"/>
    <x v="0"/>
    <x v="4"/>
    <x v="4"/>
    <x v="9"/>
    <s v="21B"/>
    <n v="1981"/>
    <s v="8.2x4.5"/>
    <n v="2.23"/>
    <n v="2614"/>
    <n v="1172"/>
    <n v="110"/>
    <x v="187"/>
    <m/>
    <m/>
    <d v="2007-01-22T00:00:00"/>
    <x v="10"/>
    <m/>
    <m/>
  </r>
  <r>
    <x v="8"/>
    <x v="0"/>
    <x v="2"/>
    <x v="4"/>
    <x v="9"/>
    <m/>
    <m/>
    <m/>
    <m/>
    <m/>
    <m/>
    <n v="110"/>
    <x v="9"/>
    <m/>
    <m/>
    <d v="2008-12-16T00:00:00"/>
    <x v="69"/>
    <n v="2.69"/>
    <n v="16"/>
  </r>
  <r>
    <x v="9"/>
    <x v="0"/>
    <x v="2"/>
    <x v="4"/>
    <x v="9"/>
    <m/>
    <m/>
    <m/>
    <m/>
    <m/>
    <m/>
    <m/>
    <x v="46"/>
    <m/>
    <m/>
    <m/>
    <x v="10"/>
    <m/>
    <m/>
  </r>
  <r>
    <x v="10"/>
    <x v="0"/>
    <x v="2"/>
    <x v="4"/>
    <x v="9"/>
    <m/>
    <m/>
    <m/>
    <m/>
    <m/>
    <m/>
    <m/>
    <x v="188"/>
    <m/>
    <m/>
    <d v="2010-11-23T00:00:00"/>
    <x v="70"/>
    <n v="3.06"/>
    <n v="16"/>
  </r>
  <r>
    <x v="11"/>
    <x v="0"/>
    <x v="2"/>
    <x v="4"/>
    <x v="9"/>
    <m/>
    <m/>
    <m/>
    <m/>
    <m/>
    <m/>
    <m/>
    <x v="46"/>
    <m/>
    <m/>
    <m/>
    <x v="10"/>
    <m/>
    <m/>
  </r>
  <r>
    <x v="12"/>
    <x v="0"/>
    <x v="2"/>
    <x v="4"/>
    <x v="9"/>
    <m/>
    <m/>
    <m/>
    <m/>
    <m/>
    <m/>
    <m/>
    <x v="189"/>
    <m/>
    <m/>
    <d v="2013-01-12T00:00:00"/>
    <x v="59"/>
    <n v="3.21"/>
    <n v="10.199999999999999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4"/>
    <x v="4"/>
    <x v="8"/>
    <s v="21B"/>
    <n v="1981"/>
    <s v="8.2x4.5"/>
    <n v="2.23"/>
    <n v="2614"/>
    <n v="1172.1973094170403"/>
    <n v="143"/>
    <x v="190"/>
    <n v="5.5022421524663674"/>
    <n v="9.3879112471308339"/>
    <d v="2000-10-27T00:00:00"/>
    <x v="13"/>
    <n v="2.81"/>
    <n v="13.9"/>
  </r>
  <r>
    <x v="1"/>
    <x v="0"/>
    <x v="4"/>
    <x v="4"/>
    <x v="8"/>
    <s v="21B"/>
    <n v="1981"/>
    <s v="8.2x4.5"/>
    <n v="2.23"/>
    <n v="2614"/>
    <n v="1172.1973094170403"/>
    <n v="158"/>
    <x v="53"/>
    <n v="5.1704035874439462"/>
    <n v="8.8217291507268563"/>
    <d v="2001-10-22T00:00:00"/>
    <x v="47"/>
    <n v="2.75"/>
    <n v="12.8"/>
  </r>
  <r>
    <x v="2"/>
    <x v="0"/>
    <x v="4"/>
    <x v="4"/>
    <x v="8"/>
    <s v="21B"/>
    <n v="1981"/>
    <s v="8.2x4.5"/>
    <n v="2.23"/>
    <n v="2614"/>
    <n v="1172.1973094170403"/>
    <s v=" "/>
    <x v="191"/>
    <n v="4.3004484304932733"/>
    <n v="7.3374139250191277"/>
    <d v="2003-10-21T00:00:00"/>
    <x v="5"/>
    <n v="2.94"/>
    <n v="10.6"/>
  </r>
  <r>
    <x v="3"/>
    <x v="0"/>
    <x v="4"/>
    <x v="4"/>
    <x v="8"/>
    <s v="21B"/>
    <n v="1981"/>
    <s v="8.2x4.5"/>
    <n v="2.23"/>
    <n v="2614"/>
    <n v="1172.1973094170403"/>
    <n v="165"/>
    <x v="5"/>
    <n v="0.89686098654708524"/>
    <n v="1.530221882172915"/>
    <d v="2003-10-30T00:00:00"/>
    <x v="13"/>
    <n v="3.02"/>
    <n v="9.4499999999999993"/>
  </r>
  <r>
    <x v="4"/>
    <x v="0"/>
    <x v="4"/>
    <x v="4"/>
    <x v="8"/>
    <s v="21B"/>
    <n v="1981"/>
    <s v="8.2x4.5"/>
    <n v="2.23"/>
    <n v="2614"/>
    <n v="1172"/>
    <n v="210"/>
    <x v="192"/>
    <n v="4.1704035874439462"/>
    <n v="7.1155317521040553"/>
    <d v="2004-11-04T00:00:00"/>
    <x v="71"/>
    <n v="3.12"/>
    <n v="8.9"/>
  </r>
  <r>
    <x v="5"/>
    <x v="0"/>
    <x v="4"/>
    <x v="4"/>
    <x v="8"/>
    <s v="21B"/>
    <n v="1981"/>
    <s v="8.2x4.5"/>
    <n v="2.23"/>
    <n v="2614"/>
    <n v="1172"/>
    <n v="208"/>
    <x v="90"/>
    <n v="2.8251121076233185"/>
    <n v="4.8201989288446825"/>
    <d v="2006-10-31T00:00:00"/>
    <x v="5"/>
    <n v="2.99"/>
    <n v="11.1"/>
  </r>
  <r>
    <x v="6"/>
    <x v="0"/>
    <x v="4"/>
    <x v="4"/>
    <x v="8"/>
    <s v="21B"/>
    <n v="1981"/>
    <s v="8.2x4.5"/>
    <n v="2.23"/>
    <n v="2614"/>
    <n v="1172"/>
    <m/>
    <x v="193"/>
    <n v="8.071748878923767"/>
    <n v="13.771996939556235"/>
    <m/>
    <x v="10"/>
    <m/>
    <m/>
  </r>
  <r>
    <x v="7"/>
    <x v="0"/>
    <x v="4"/>
    <x v="4"/>
    <x v="8"/>
    <s v="21B"/>
    <n v="1981"/>
    <s v="8.2x4.5"/>
    <n v="2.23"/>
    <n v="2614"/>
    <n v="1172"/>
    <n v="150"/>
    <x v="10"/>
    <n v="1.6591928251121077"/>
    <n v="2.8309104820198927"/>
    <d v="2007-11-06T00:00:00"/>
    <x v="2"/>
    <n v="3.1"/>
    <n v="11.2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4"/>
    <x v="0"/>
    <x v="8"/>
    <s v="UCD"/>
    <m/>
    <m/>
    <n v="1.01"/>
    <n v="711"/>
    <n v="703.96039603960401"/>
    <n v="180"/>
    <x v="194"/>
    <n v="2.7361386138613861"/>
    <n v="7.7735583684950775"/>
    <d v="2002-10-28T00:00:00"/>
    <x v="72"/>
    <n v="2.77"/>
    <n v="15.4"/>
  </r>
  <r>
    <x v="1"/>
    <x v="0"/>
    <x v="4"/>
    <x v="0"/>
    <x v="8"/>
    <s v="UCD"/>
    <m/>
    <m/>
    <n v="1.01"/>
    <n v="711"/>
    <n v="703.96039603960401"/>
    <n v="120"/>
    <x v="195"/>
    <n v="1.7524752475247525"/>
    <n v="4.9789029535864975"/>
    <d v="2001-10-22T00:00:00"/>
    <x v="49"/>
    <n v="3.05"/>
    <n v="10.199999999999999"/>
  </r>
  <r>
    <x v="2"/>
    <x v="0"/>
    <x v="4"/>
    <x v="0"/>
    <x v="8"/>
    <s v="UCD"/>
    <m/>
    <m/>
    <n v="1.01"/>
    <n v="711"/>
    <n v="703.96039603960401"/>
    <n v="175"/>
    <x v="196"/>
    <n v="2.9405940594059405"/>
    <n v="8.3544303797468356"/>
    <d v="2003-10-22T00:00:00"/>
    <x v="6"/>
    <n v="3.08"/>
    <n v="9.3000000000000007"/>
  </r>
  <r>
    <x v="3"/>
    <x v="0"/>
    <x v="4"/>
    <x v="0"/>
    <x v="8"/>
    <s v="UCD"/>
    <m/>
    <m/>
    <n v="1.01"/>
    <n v="711"/>
    <n v="703.96039603960401"/>
    <m/>
    <x v="13"/>
    <m/>
    <m/>
    <m/>
    <x v="10"/>
    <m/>
    <m/>
  </r>
  <r>
    <x v="4"/>
    <x v="0"/>
    <x v="4"/>
    <x v="0"/>
    <x v="8"/>
    <s v="UCD"/>
    <m/>
    <m/>
    <n v="1.01"/>
    <n v="711"/>
    <n v="704"/>
    <n v="175"/>
    <x v="197"/>
    <n v="3.5643564356435644"/>
    <n v="10.126582278481013"/>
    <d v="2004-11-04T00:00:00"/>
    <x v="71"/>
    <n v="3.12"/>
    <n v="8.9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0"/>
    <x v="8"/>
    <x v="11"/>
    <n v="530"/>
    <n v="1997"/>
    <s v="2.1x1.4"/>
    <n v="1.82"/>
    <n v="1888"/>
    <n v="1037.3626373626373"/>
    <n v="120"/>
    <x v="198"/>
    <n v="1.6560439560439559"/>
    <n v="3.1927966101694913"/>
    <d v="2000-10-10T00:00:00"/>
    <x v="73"/>
    <n v="2.85"/>
    <n v="15.3"/>
  </r>
  <r>
    <x v="1"/>
    <x v="0"/>
    <x v="0"/>
    <x v="8"/>
    <x v="11"/>
    <n v="530"/>
    <n v="1997"/>
    <s v="2.1x1.4"/>
    <n v="1.82"/>
    <n v="1888"/>
    <n v="1037.3626373626373"/>
    <n v="152"/>
    <x v="199"/>
    <n v="1.5920329670329669"/>
    <n v="3.0693855932203391"/>
    <d v="2001-10-09T00:00:00"/>
    <x v="6"/>
    <n v="3.21"/>
    <n v="7.9"/>
  </r>
  <r>
    <x v="2"/>
    <x v="0"/>
    <x v="0"/>
    <x v="8"/>
    <x v="11"/>
    <n v="530"/>
    <n v="1997"/>
    <s v="2.1x1.4"/>
    <n v="1.82"/>
    <n v="1888"/>
    <n v="1037.3626373626373"/>
    <n v="195"/>
    <x v="200"/>
    <n v="3"/>
    <n v="5.7838983050847457"/>
    <d v="2003-09-30T00:00:00"/>
    <x v="22"/>
    <n v="3.4"/>
    <n v="5.9"/>
  </r>
  <r>
    <x v="3"/>
    <x v="0"/>
    <x v="0"/>
    <x v="8"/>
    <x v="11"/>
    <n v="530"/>
    <n v="1997"/>
    <s v="2.1x1.4"/>
    <n v="1.82"/>
    <n v="1888"/>
    <n v="1037.3626373626373"/>
    <n v="176"/>
    <x v="201"/>
    <n v="3.6263736263736259"/>
    <n v="6.9915254237288131"/>
    <d v="2003-10-01T00:00:00"/>
    <x v="6"/>
    <n v="3.44"/>
    <n v="5.9"/>
  </r>
  <r>
    <x v="4"/>
    <x v="0"/>
    <x v="0"/>
    <x v="8"/>
    <x v="11"/>
    <n v="530"/>
    <n v="1997"/>
    <s v="2.1x1.4"/>
    <n v="1.82"/>
    <n v="1888"/>
    <n v="1374"/>
    <n v="165"/>
    <x v="54"/>
    <n v="4.6703296703296706"/>
    <n v="9.0042372881355934"/>
    <d v="2004-10-12T00:00:00"/>
    <x v="19"/>
    <n v="3.26"/>
    <n v="6.3"/>
  </r>
  <r>
    <x v="5"/>
    <x v="0"/>
    <x v="0"/>
    <x v="8"/>
    <x v="11"/>
    <n v="530"/>
    <n v="1997"/>
    <s v="2.1x1.4"/>
    <n v="1.82"/>
    <n v="1888"/>
    <n v="1374"/>
    <n v="152"/>
    <x v="202"/>
    <n v="2.3076923076923079"/>
    <n v="4.4491525423728815"/>
    <d v="2005-09-29T00:00:00"/>
    <x v="22"/>
    <n v="3.37"/>
    <n v="7.3"/>
  </r>
  <r>
    <x v="6"/>
    <x v="0"/>
    <x v="0"/>
    <x v="8"/>
    <x v="11"/>
    <n v="530"/>
    <n v="1997"/>
    <s v="2.1x1.4"/>
    <n v="1.82"/>
    <n v="1888"/>
    <n v="1374"/>
    <n v="136"/>
    <x v="92"/>
    <n v="2.4725274725274726"/>
    <n v="4.7669491525423728"/>
    <d v="2006-09-27T00:00:00"/>
    <x v="74"/>
    <n v="3.12"/>
    <n v="6.6"/>
  </r>
  <r>
    <x v="7"/>
    <x v="0"/>
    <x v="0"/>
    <x v="8"/>
    <x v="11"/>
    <n v="530"/>
    <n v="1997"/>
    <s v="2.1x1.4"/>
    <n v="1.82"/>
    <n v="1888"/>
    <n v="1374"/>
    <n v="155"/>
    <x v="30"/>
    <n v="2.3626373626373622"/>
    <n v="4.5550847457627119"/>
    <d v="2007-10-01T00:00:00"/>
    <x v="19"/>
    <n v="3.27"/>
    <n v="7.8"/>
  </r>
  <r>
    <x v="8"/>
    <x v="0"/>
    <x v="0"/>
    <x v="8"/>
    <x v="11"/>
    <n v="530"/>
    <n v="1997"/>
    <s v="2.1x1.4"/>
    <n v="1.82"/>
    <n v="1888"/>
    <n v="1374"/>
    <n v="165"/>
    <x v="203"/>
    <n v="2.912087912087912"/>
    <n v="5.6144067796610173"/>
    <d v="2007-10-01T00:00:00"/>
    <x v="11"/>
    <n v="3.32"/>
    <n v="7.7"/>
  </r>
  <r>
    <x v="9"/>
    <x v="0"/>
    <x v="0"/>
    <x v="8"/>
    <x v="11"/>
    <n v="530"/>
    <n v="1997"/>
    <s v="2.1x1.4"/>
    <n v="1.82"/>
    <n v="1888"/>
    <n v="1374"/>
    <n v="160"/>
    <x v="204"/>
    <n v="4.5054945054945046"/>
    <n v="8.6864406779661021"/>
    <d v="2009-09-30T00:00:00"/>
    <x v="75"/>
    <n v="3.65"/>
    <n v="5.9"/>
  </r>
  <r>
    <x v="10"/>
    <x v="0"/>
    <x v="0"/>
    <x v="8"/>
    <x v="11"/>
    <n v="530"/>
    <n v="1997"/>
    <s v="2.1x1.4"/>
    <n v="1.82"/>
    <n v="1888"/>
    <n v="1374"/>
    <n v="127"/>
    <x v="205"/>
    <n v="3.3516483516483513"/>
    <n v="6.4618644067796609"/>
    <d v="2010-10-05T00:00:00"/>
    <x v="13"/>
    <n v="3.17"/>
    <n v="9.4"/>
  </r>
  <r>
    <x v="11"/>
    <x v="0"/>
    <x v="0"/>
    <x v="8"/>
    <x v="11"/>
    <n v="530"/>
    <n v="1997"/>
    <s v="2.1x1.4"/>
    <n v="1.82"/>
    <n v="1888"/>
    <n v="1374"/>
    <n v="160"/>
    <x v="206"/>
    <n v="2.1758241758241756"/>
    <n v="4.1949152542372881"/>
    <d v="2011-10-04T00:00:00"/>
    <x v="17"/>
    <n v="3.24"/>
    <n v="7.95"/>
  </r>
  <r>
    <x v="12"/>
    <x v="0"/>
    <x v="0"/>
    <x v="8"/>
    <x v="11"/>
    <n v="530"/>
    <n v="1997"/>
    <s v="2.1x1.4"/>
    <n v="1.82"/>
    <n v="1888"/>
    <n v="1374"/>
    <n v="180"/>
    <x v="207"/>
    <n v="2.1648351648351647"/>
    <n v="4.1737288135593218"/>
    <d v="2012-09-29T00:00:00"/>
    <x v="15"/>
    <n v="3.16"/>
    <n v="7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0"/>
    <x v="4"/>
    <x v="12"/>
    <m/>
    <n v="1994"/>
    <m/>
    <n v="0.28000000000000003"/>
    <n v="275"/>
    <n v="982.142857142857"/>
    <m/>
    <x v="208"/>
    <n v="3.4607142857142854"/>
    <n v="7.0472727272727269"/>
    <d v="2001-11-04T00:00:00"/>
    <x v="25"/>
    <n v="3.15"/>
    <n v="10.4"/>
  </r>
  <r>
    <x v="1"/>
    <x v="0"/>
    <x v="0"/>
    <x v="4"/>
    <x v="12"/>
    <m/>
    <n v="1994"/>
    <m/>
    <n v="0.28000000000000003"/>
    <n v="275"/>
    <n v="982.142857142857"/>
    <m/>
    <x v="209"/>
    <n v="1.6839285714285712"/>
    <n v="3.4290909090909092"/>
    <d v="2001-11-02T00:00:00"/>
    <x v="14"/>
    <n v="3.21"/>
    <n v="9.8000000000000007"/>
  </r>
  <r>
    <x v="2"/>
    <x v="0"/>
    <x v="0"/>
    <x v="4"/>
    <x v="12"/>
    <m/>
    <n v="1994"/>
    <m/>
    <n v="0.28000000000000003"/>
    <n v="275"/>
    <n v="982.142857142857"/>
    <n v="250"/>
    <x v="210"/>
    <n v="3.5714285714285712"/>
    <n v="7.2727272727272725"/>
    <d v="2003-10-25T00:00:00"/>
    <x v="26"/>
    <n v="3.31"/>
    <n v="6.8"/>
  </r>
  <r>
    <x v="3"/>
    <x v="0"/>
    <x v="0"/>
    <x v="4"/>
    <x v="12"/>
    <m/>
    <n v="1994"/>
    <m/>
    <n v="0.28000000000000003"/>
    <n v="275"/>
    <n v="982.142857142857"/>
    <m/>
    <x v="210"/>
    <n v="3.5714285714285712"/>
    <n v="7.2727272727272725"/>
    <m/>
    <x v="10"/>
    <m/>
    <m/>
  </r>
  <r>
    <x v="4"/>
    <x v="0"/>
    <x v="0"/>
    <x v="4"/>
    <x v="12"/>
    <m/>
    <n v="1994"/>
    <m/>
    <n v="0.28000000000000003"/>
    <n v="275"/>
    <n v="982"/>
    <n v="158"/>
    <x v="211"/>
    <n v="3.0714285714285712"/>
    <n v="6.2545454545454549"/>
    <d v="2004-11-04T00:00:00"/>
    <x v="21"/>
    <n v="3.62"/>
    <n v="6.2"/>
  </r>
  <r>
    <x v="5"/>
    <x v="0"/>
    <x v="0"/>
    <x v="4"/>
    <x v="12"/>
    <m/>
    <n v="1994"/>
    <m/>
    <n v="0.28000000000000003"/>
    <n v="275"/>
    <n v="982"/>
    <m/>
    <x v="210"/>
    <n v="3.5714285714285712"/>
    <n v="7.2727272727272725"/>
    <s v=" "/>
    <x v="76"/>
    <s v=" "/>
    <s v=" "/>
  </r>
  <r>
    <x v="6"/>
    <x v="0"/>
    <x v="0"/>
    <x v="4"/>
    <x v="12"/>
    <m/>
    <n v="1994"/>
    <m/>
    <n v="0.28000000000000003"/>
    <n v="275"/>
    <n v="982"/>
    <m/>
    <x v="210"/>
    <n v="3.5714285714285712"/>
    <n v="7.2727272727272725"/>
    <m/>
    <x v="10"/>
    <m/>
    <m/>
  </r>
  <r>
    <x v="7"/>
    <x v="0"/>
    <x v="0"/>
    <x v="4"/>
    <x v="12"/>
    <m/>
    <n v="1994"/>
    <m/>
    <n v="0.28000000000000003"/>
    <n v="275"/>
    <n v="982"/>
    <m/>
    <x v="212"/>
    <n v="1.0714285714285714"/>
    <n v="2.1818181818181817"/>
    <d v="2007-11-06T00:00:00"/>
    <x v="21"/>
    <n v="3.43"/>
    <n v="9.8000000000000007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0"/>
    <x v="4"/>
    <x v="13"/>
    <n v="339"/>
    <n v="1997"/>
    <s v="2.4x1.0"/>
    <n v="0.25"/>
    <n v="208"/>
    <n v="832"/>
    <m/>
    <x v="213"/>
    <n v="2.726"/>
    <n v="6.552884615384615"/>
    <m/>
    <x v="10"/>
    <m/>
    <m/>
  </r>
  <r>
    <x v="1"/>
    <x v="0"/>
    <x v="0"/>
    <x v="4"/>
    <x v="13"/>
    <n v="339"/>
    <n v="1997"/>
    <s v="2.4x1.1"/>
    <n v="0.25"/>
    <n v="208"/>
    <n v="832"/>
    <n v="182"/>
    <x v="214"/>
    <n v="1.782"/>
    <n v="4.2836538461538458"/>
    <d v="2001-11-02T00:00:00"/>
    <x v="31"/>
    <n v="3.06"/>
    <n v="11.6"/>
  </r>
  <r>
    <x v="2"/>
    <x v="0"/>
    <x v="0"/>
    <x v="4"/>
    <x v="13"/>
    <n v="339"/>
    <n v="1997"/>
    <s v="2.4x1.2"/>
    <n v="0.25"/>
    <n v="208"/>
    <n v="832"/>
    <n v="255"/>
    <x v="215"/>
    <n v="2.2799999999999998"/>
    <n v="5.4807692307692308"/>
    <d v="2003-10-25T00:00:00"/>
    <x v="26"/>
    <n v="3.31"/>
    <n v="6.8"/>
  </r>
  <r>
    <x v="3"/>
    <x v="0"/>
    <x v="0"/>
    <x v="4"/>
    <x v="13"/>
    <n v="339"/>
    <n v="1997"/>
    <s v="2.4x1.3"/>
    <n v="0.25"/>
    <n v="208"/>
    <n v="832"/>
    <n v="150"/>
    <x v="216"/>
    <n v="4.4000000000000004"/>
    <n v="10.576923076923077"/>
    <d v="2003-11-02T00:00:00"/>
    <x v="2"/>
    <m/>
    <m/>
  </r>
  <r>
    <x v="4"/>
    <x v="0"/>
    <x v="0"/>
    <x v="4"/>
    <x v="13"/>
    <n v="339"/>
    <n v="1997"/>
    <s v="2.4x1.4"/>
    <n v="0.25"/>
    <n v="208"/>
    <n v="832"/>
    <n v="158"/>
    <x v="217"/>
    <n v="2.8"/>
    <n v="6.7307692307692308"/>
    <d v="2003-11-04T00:00:00"/>
    <x v="21"/>
    <n v="3.62"/>
    <n v="6.2"/>
  </r>
  <r>
    <x v="5"/>
    <x v="0"/>
    <x v="0"/>
    <x v="4"/>
    <x v="13"/>
    <n v="339"/>
    <n v="1997"/>
    <s v="2.4x1.5"/>
    <n v="0.25"/>
    <n v="208"/>
    <n v="832"/>
    <m/>
    <x v="218"/>
    <n v="4.8"/>
    <n v="11.538461538461538"/>
    <s v=" "/>
    <x v="76"/>
    <s v=" "/>
    <s v=" "/>
  </r>
  <r>
    <x v="6"/>
    <x v="0"/>
    <x v="0"/>
    <x v="4"/>
    <x v="13"/>
    <n v="339"/>
    <n v="1997"/>
    <s v="2.4x1.6"/>
    <n v="0.25"/>
    <n v="208"/>
    <n v="832"/>
    <m/>
    <x v="219"/>
    <n v="3.6"/>
    <n v="8.6538461538461533"/>
    <d v="2006-11-06T00:00:00"/>
    <x v="14"/>
    <n v="3.67"/>
    <n v="5.4"/>
  </r>
  <r>
    <x v="7"/>
    <x v="0"/>
    <x v="0"/>
    <x v="4"/>
    <x v="13"/>
    <n v="339"/>
    <n v="1997"/>
    <s v="2.4x1.7"/>
    <n v="0.25"/>
    <n v="208"/>
    <n v="832"/>
    <m/>
    <x v="212"/>
    <n v="1.2"/>
    <n v="2.8846153846153846"/>
    <d v="2007-11-06T00:00:00"/>
    <x v="21"/>
    <n v="3.43"/>
    <n v="9.8000000000000007"/>
  </r>
  <r>
    <x v="8"/>
    <x v="0"/>
    <x v="0"/>
    <x v="4"/>
    <x v="13"/>
    <n v="339"/>
    <n v="1997"/>
    <s v="2.4x1.8"/>
    <n v="0.34"/>
    <n v="208"/>
    <n v="611.76470588235293"/>
    <m/>
    <x v="13"/>
    <n v="0"/>
    <n v="0"/>
    <m/>
    <x v="10"/>
    <m/>
    <m/>
  </r>
  <r>
    <x v="9"/>
    <x v="0"/>
    <x v="0"/>
    <x v="4"/>
    <x v="13"/>
    <n v="339"/>
    <n v="1997"/>
    <s v="2.4x1.9"/>
    <n v="0.34"/>
    <n v="208"/>
    <n v="611.76470588235293"/>
    <m/>
    <x v="220"/>
    <n v="1.4705882352941175"/>
    <n v="4.8076923076923075"/>
    <d v="2009-10-22T00:00:00"/>
    <x v="7"/>
    <n v="3.8"/>
    <n v="5.4"/>
  </r>
  <r>
    <x v="10"/>
    <x v="0"/>
    <x v="0"/>
    <x v="4"/>
    <x v="13"/>
    <n v="339"/>
    <n v="1997"/>
    <s v="2.4x1.10"/>
    <n v="0.34"/>
    <n v="208"/>
    <n v="611.76470588235293"/>
    <n v="145"/>
    <x v="221"/>
    <n v="1.0588235294117645"/>
    <n v="3.4615384615384617"/>
    <d v="2010-11-02T00:00:00"/>
    <x v="6"/>
    <n v="3.25"/>
    <n v="9.5"/>
  </r>
  <r>
    <x v="11"/>
    <x v="0"/>
    <x v="0"/>
    <x v="4"/>
    <x v="13"/>
    <n v="339"/>
    <n v="1997"/>
    <s v="2.4x1.11"/>
    <n v="0.34"/>
    <n v="208"/>
    <n v="611.76470588235293"/>
    <m/>
    <x v="222"/>
    <n v="0.97058823529411764"/>
    <n v="3.1730769230769229"/>
    <d v="2011-11-09T00:00:00"/>
    <x v="19"/>
    <n v="3.29"/>
    <n v="8.4"/>
  </r>
  <r>
    <x v="12"/>
    <x v="0"/>
    <x v="0"/>
    <x v="4"/>
    <x v="13"/>
    <n v="339"/>
    <n v="1997"/>
    <s v="2.4x1.12"/>
    <n v="0.34"/>
    <n v="208"/>
    <n v="611.76470588235293"/>
    <m/>
    <x v="223"/>
    <n v="0.67647058823529405"/>
    <n v="2.2115384615384617"/>
    <d v="2012-10-28T00:00:00"/>
    <x v="21"/>
    <n v="3.47"/>
    <n v="6.03"/>
  </r>
  <r>
    <x v="13"/>
    <x v="1"/>
    <x v="1"/>
    <x v="1"/>
    <x v="1"/>
    <m/>
    <m/>
    <m/>
    <m/>
    <m/>
    <m/>
    <m/>
    <x v="13"/>
    <m/>
    <m/>
    <m/>
    <x v="10"/>
    <m/>
    <m/>
  </r>
  <r>
    <x v="6"/>
    <x v="0"/>
    <x v="4"/>
    <x v="3"/>
    <x v="13"/>
    <n v="191"/>
    <n v="2003"/>
    <s v="2.1x1.1"/>
    <n v="2.25"/>
    <n v="3990"/>
    <n v="1773.3333333333333"/>
    <n v="142"/>
    <x v="54"/>
    <n v="3.7777777777777777"/>
    <n v="4.2606516290726821"/>
    <d v="2006-11-06T00:00:00"/>
    <x v="6"/>
    <n v="3.68"/>
    <n v="5.5"/>
  </r>
  <r>
    <x v="7"/>
    <x v="0"/>
    <x v="4"/>
    <x v="3"/>
    <x v="13"/>
    <n v="191"/>
    <n v="2003"/>
    <s v="2.1x1.1"/>
    <n v="2.19"/>
    <n v="3990"/>
    <n v="1821.9178082191781"/>
    <n v="185"/>
    <x v="43"/>
    <n v="4.9771689497716896"/>
    <n v="5.4636591478696745"/>
    <d v="2007-11-06T00:00:00"/>
    <x v="4"/>
    <n v="3.43"/>
    <n v="7"/>
  </r>
  <r>
    <x v="8"/>
    <x v="0"/>
    <x v="4"/>
    <x v="3"/>
    <x v="13"/>
    <n v="191"/>
    <n v="2003"/>
    <s v="2.1x1.1"/>
    <n v="2.19"/>
    <n v="3990"/>
    <n v="1821.9178082191781"/>
    <n v="180"/>
    <x v="89"/>
    <n v="3.4703196347031962"/>
    <n v="3.8095238095238093"/>
    <d v="2008-10-31T00:00:00"/>
    <x v="1"/>
    <n v="3.75"/>
    <n v="6.8"/>
  </r>
  <r>
    <x v="9"/>
    <x v="0"/>
    <x v="4"/>
    <x v="3"/>
    <x v="13"/>
    <n v="191"/>
    <n v="2003"/>
    <s v="2.1x1.1"/>
    <n v="2.19"/>
    <n v="3990"/>
    <n v="1821.9178082191781"/>
    <m/>
    <x v="224"/>
    <n v="4.5205479452054798"/>
    <n v="4.9624060150375939"/>
    <d v="2009-10-22T00:00:00"/>
    <x v="23"/>
    <n v="3.69"/>
    <n v="5.9"/>
  </r>
  <r>
    <x v="10"/>
    <x v="0"/>
    <x v="4"/>
    <x v="3"/>
    <x v="13"/>
    <n v="191"/>
    <n v="2003"/>
    <s v="2.1x1.1"/>
    <n v="2.19"/>
    <n v="3990"/>
    <n v="1821.9178082191781"/>
    <n v="137"/>
    <x v="225"/>
    <n v="3.5616438356164384"/>
    <n v="3.9097744360902253"/>
    <d v="2010-11-02T00:00:00"/>
    <x v="26"/>
    <n v="3.28"/>
    <n v="10.3"/>
  </r>
  <r>
    <x v="11"/>
    <x v="0"/>
    <x v="4"/>
    <x v="3"/>
    <x v="13"/>
    <n v="191"/>
    <n v="2003"/>
    <s v="2.1x1.1"/>
    <n v="2.19"/>
    <n v="3990"/>
    <n v="1821.9178082191781"/>
    <n v="200"/>
    <x v="204"/>
    <n v="3.7442922374429219"/>
    <n v="4.1102756892230579"/>
    <d v="2011-11-09T00:00:00"/>
    <x v="19"/>
    <n v="3.29"/>
    <n v="8.4"/>
  </r>
  <r>
    <x v="12"/>
    <x v="0"/>
    <x v="4"/>
    <x v="3"/>
    <x v="13"/>
    <n v="191"/>
    <n v="2003"/>
    <s v="2.1x1.1"/>
    <n v="2.19"/>
    <n v="3990"/>
    <n v="1821.9178082191781"/>
    <m/>
    <x v="226"/>
    <n v="3.7488584474885842"/>
    <n v="4.1152882205513777"/>
    <s v="28 &amp; 30 Oct"/>
    <x v="77"/>
    <n v="3.415"/>
    <n v="5.9749999999999996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4"/>
    <x v="8"/>
    <x v="13"/>
    <n v="191"/>
    <n v="1997"/>
    <s v="2.0x1.4"/>
    <n v="1.38"/>
    <n v="1900"/>
    <n v="1376.8115942028987"/>
    <m/>
    <x v="227"/>
    <n v="2.7206521739130438"/>
    <n v="3.9521052631578946"/>
    <d v="2002-11-04T00:00:00"/>
    <x v="78"/>
    <n v="3.25"/>
    <n v="10.4"/>
  </r>
  <r>
    <x v="1"/>
    <x v="0"/>
    <x v="4"/>
    <x v="8"/>
    <x v="13"/>
    <n v="191"/>
    <n v="1997"/>
    <s v="2.0x1.4"/>
    <n v="1.38"/>
    <n v="1900"/>
    <n v="1376.8115942028987"/>
    <n v="182"/>
    <x v="228"/>
    <n v="3.3199275362318845"/>
    <n v="4.8226315789473686"/>
    <d v="2001-11-02T00:00:00"/>
    <x v="31"/>
    <n v="3.06"/>
    <n v="11.6"/>
  </r>
  <r>
    <x v="2"/>
    <x v="0"/>
    <x v="4"/>
    <x v="8"/>
    <x v="13"/>
    <n v="191"/>
    <n v="1997"/>
    <s v="2.0x1.4"/>
    <n v="1.38"/>
    <n v="1900"/>
    <n v="1376.8115942028987"/>
    <n v="174"/>
    <x v="229"/>
    <n v="2.1449275362318843"/>
    <n v="3.1157894736842104"/>
    <d v="2003-10-24T00:00:00"/>
    <x v="23"/>
    <n v="3.55"/>
    <n v="6.7"/>
  </r>
  <r>
    <x v="3"/>
    <x v="0"/>
    <x v="4"/>
    <x v="8"/>
    <x v="13"/>
    <n v="191"/>
    <n v="1997"/>
    <s v="2.0x1.4"/>
    <n v="1.38"/>
    <n v="1900"/>
    <n v="1376.8115942028987"/>
    <n v="150"/>
    <x v="230"/>
    <n v="3.4057971014492758"/>
    <n v="4.9473684210526319"/>
    <d v="2003-11-02T00:00:00"/>
    <x v="23"/>
    <m/>
    <m/>
  </r>
  <r>
    <x v="4"/>
    <x v="0"/>
    <x v="4"/>
    <x v="8"/>
    <x v="13"/>
    <n v="191"/>
    <n v="1997"/>
    <s v="2.0x1.4"/>
    <n v="1.38"/>
    <n v="1900"/>
    <n v="1377"/>
    <n v="195"/>
    <x v="231"/>
    <n v="4.27536231884058"/>
    <n v="6.2105263157894735"/>
    <d v="2004-11-04T00:00:00"/>
    <x v="21"/>
    <n v="3.62"/>
    <n v="6.2"/>
  </r>
  <r>
    <x v="5"/>
    <x v="0"/>
    <x v="4"/>
    <x v="8"/>
    <x v="13"/>
    <n v="191"/>
    <n v="1997"/>
    <s v="2.0x1.4"/>
    <n v="1.38"/>
    <n v="1900"/>
    <n v="1377"/>
    <s v=" "/>
    <x v="34"/>
    <n v="3.985507246376812"/>
    <n v="5.7894736842105265"/>
    <s v=" "/>
    <x v="76"/>
    <s v=" "/>
    <s v=" "/>
  </r>
  <r>
    <x v="6"/>
    <x v="0"/>
    <x v="4"/>
    <x v="8"/>
    <x v="13"/>
    <n v="191"/>
    <n v="1997"/>
    <s v="2.0x1.4"/>
    <n v="1.38"/>
    <n v="1900"/>
    <n v="1377"/>
    <m/>
    <x v="232"/>
    <n v="4.1304347826086962"/>
    <n v="6"/>
    <d v="2006-11-06T00:00:00"/>
    <x v="6"/>
    <n v="3.66"/>
    <n v="6"/>
  </r>
  <r>
    <x v="7"/>
    <x v="0"/>
    <x v="4"/>
    <x v="8"/>
    <x v="13"/>
    <n v="191"/>
    <n v="1997"/>
    <s v="2.0x1.4"/>
    <n v="1.38"/>
    <n v="1900"/>
    <n v="1377"/>
    <n v="182"/>
    <x v="89"/>
    <n v="5.5072463768115947"/>
    <n v="8"/>
    <d v="2007-11-06T00:00:00"/>
    <x v="4"/>
    <n v="3.44"/>
    <n v="7.2"/>
  </r>
  <r>
    <x v="8"/>
    <x v="0"/>
    <x v="4"/>
    <x v="8"/>
    <x v="13"/>
    <n v="191"/>
    <n v="1997"/>
    <s v="2.0x1.4"/>
    <n v="1.38"/>
    <n v="1900"/>
    <n v="1377"/>
    <n v="195"/>
    <x v="92"/>
    <n v="3.2608695652173916"/>
    <n v="4.7368421052631575"/>
    <d v="2008-10-31T00:00:00"/>
    <x v="79"/>
    <n v="3.61"/>
    <n v="7.1"/>
  </r>
  <r>
    <x v="9"/>
    <x v="0"/>
    <x v="4"/>
    <x v="8"/>
    <x v="13"/>
    <n v="191"/>
    <n v="1997"/>
    <s v="2.0x1.4"/>
    <n v="1.38"/>
    <n v="1900"/>
    <n v="1377"/>
    <m/>
    <x v="34"/>
    <n v="3.985507246376812"/>
    <n v="5.7894736842105265"/>
    <d v="2009-10-22T00:00:00"/>
    <x v="7"/>
    <n v="3.8"/>
    <n v="5.4"/>
  </r>
  <r>
    <x v="10"/>
    <x v="0"/>
    <x v="4"/>
    <x v="8"/>
    <x v="13"/>
    <n v="191"/>
    <n v="1997"/>
    <s v="2.0x1.4"/>
    <n v="1.38"/>
    <n v="1900"/>
    <n v="1377"/>
    <n v="120"/>
    <x v="233"/>
    <n v="3.4782608695652177"/>
    <n v="5.0526315789473681"/>
    <d v="2010-11-02T00:00:00"/>
    <x v="22"/>
    <n v="3.31"/>
    <n v="8.9"/>
  </r>
  <r>
    <x v="11"/>
    <x v="0"/>
    <x v="4"/>
    <x v="8"/>
    <x v="13"/>
    <n v="191"/>
    <n v="1997"/>
    <s v="2.0x1.4"/>
    <n v="1.38"/>
    <n v="1900"/>
    <n v="1377"/>
    <n v="175"/>
    <x v="234"/>
    <n v="2.9492753623188408"/>
    <n v="4.2842105263157899"/>
    <d v="2011-11-09T00:00:00"/>
    <x v="19"/>
    <n v="3.34"/>
    <n v="8.5"/>
  </r>
  <r>
    <x v="12"/>
    <x v="0"/>
    <x v="4"/>
    <x v="8"/>
    <x v="13"/>
    <n v="191"/>
    <n v="1997"/>
    <s v="2.0x1.4"/>
    <n v="1.38"/>
    <n v="1900"/>
    <n v="1377"/>
    <m/>
    <x v="235"/>
    <n v="4.1086956521739131"/>
    <n v="5.9684210526315793"/>
    <d v="2012-10-28T00:00:00"/>
    <x v="19"/>
    <n v="3.45"/>
    <n v="6.3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5"/>
    <x v="7"/>
    <x v="13"/>
    <n v="191"/>
    <n v="1997"/>
    <s v="2.0x1.4"/>
    <n v="1.25"/>
    <n v="1716"/>
    <n v="1372.8"/>
    <m/>
    <x v="236"/>
    <n v="2.2372000000000001"/>
    <n v="3.2593240093240095"/>
    <d v="2002-11-04T00:00:00"/>
    <x v="78"/>
    <n v="3.02"/>
    <n v="12.5"/>
  </r>
  <r>
    <x v="1"/>
    <x v="0"/>
    <x v="5"/>
    <x v="7"/>
    <x v="13"/>
    <n v="191"/>
    <n v="1997"/>
    <s v="2.0x1.4"/>
    <n v="1.25"/>
    <n v="1716"/>
    <n v="1372.8"/>
    <n v="182"/>
    <x v="237"/>
    <n v="2.3723999999999998"/>
    <n v="3.4562937062937062"/>
    <d v="2001-11-02T00:00:00"/>
    <x v="31"/>
    <n v="3.06"/>
    <n v="11.6"/>
  </r>
  <r>
    <x v="2"/>
    <x v="0"/>
    <x v="5"/>
    <x v="7"/>
    <x v="13"/>
    <n v="191"/>
    <n v="1997"/>
    <s v="2.0x1.4"/>
    <n v="1.25"/>
    <n v="1716"/>
    <n v="1372.8"/>
    <n v="187"/>
    <x v="238"/>
    <n v="2.464"/>
    <n v="3.5897435897435899"/>
    <d v="2003-10-24T00:00:00"/>
    <x v="9"/>
    <n v="3.52"/>
    <n v="7.1"/>
  </r>
  <r>
    <x v="3"/>
    <x v="0"/>
    <x v="5"/>
    <x v="7"/>
    <x v="13"/>
    <n v="191"/>
    <n v="1997"/>
    <s v="2.0x1.4"/>
    <n v="1.25"/>
    <n v="1716"/>
    <n v="1372.8"/>
    <n v="150"/>
    <x v="239"/>
    <n v="2.8"/>
    <n v="4.0792540792540795"/>
    <d v="2003-11-02T00:00:00"/>
    <x v="23"/>
    <m/>
    <m/>
  </r>
  <r>
    <x v="4"/>
    <x v="0"/>
    <x v="5"/>
    <x v="7"/>
    <x v="13"/>
    <n v="191"/>
    <n v="1997"/>
    <s v="2.0x1.4"/>
    <n v="1.25"/>
    <n v="1716"/>
    <n v="1372.8"/>
    <n v="190"/>
    <x v="7"/>
    <n v="4.4799999999999995"/>
    <n v="6.526806526806527"/>
    <d v="2004-11-04T00:00:00"/>
    <x v="21"/>
    <n v="3.63"/>
    <n v="5.7"/>
  </r>
  <r>
    <x v="5"/>
    <x v="0"/>
    <x v="5"/>
    <x v="7"/>
    <x v="13"/>
    <n v="191"/>
    <n v="1997"/>
    <s v="2.0x1.4"/>
    <n v="1.25"/>
    <n v="1716"/>
    <n v="1372.8"/>
    <s v=" "/>
    <x v="240"/>
    <n v="4.8"/>
    <n v="6.9930069930069934"/>
    <s v=" "/>
    <x v="76"/>
    <s v=" "/>
    <s v=" "/>
  </r>
  <r>
    <x v="6"/>
    <x v="0"/>
    <x v="5"/>
    <x v="7"/>
    <x v="13"/>
    <n v="191"/>
    <n v="1997"/>
    <s v="2.0x1.4"/>
    <n v="1.25"/>
    <n v="1716"/>
    <n v="1372.8"/>
    <m/>
    <x v="241"/>
    <n v="5.36"/>
    <n v="7.8088578088578089"/>
    <d v="2006-11-07T00:00:00"/>
    <x v="13"/>
    <n v="3.5"/>
    <n v="6.2"/>
  </r>
  <r>
    <x v="7"/>
    <x v="0"/>
    <x v="5"/>
    <x v="7"/>
    <x v="13"/>
    <n v="191"/>
    <n v="1997"/>
    <s v="2.0x1.4"/>
    <n v="1.25"/>
    <n v="1716"/>
    <n v="1372.8"/>
    <n v="180"/>
    <x v="232"/>
    <n v="4.5600000000000005"/>
    <n v="6.6433566433566433"/>
    <d v="2007-11-06T00:00:00"/>
    <x v="14"/>
    <n v="3.53"/>
    <n v="6.3"/>
  </r>
  <r>
    <x v="8"/>
    <x v="0"/>
    <x v="5"/>
    <x v="7"/>
    <x v="13"/>
    <n v="191"/>
    <n v="1997"/>
    <s v="2.0x1.4"/>
    <n v="1.25"/>
    <n v="1716"/>
    <n v="1372.8"/>
    <n v="185"/>
    <x v="146"/>
    <n v="3.04"/>
    <n v="4.4289044289044286"/>
    <d v="2008-10-31T00:00:00"/>
    <x v="63"/>
    <n v="3.71"/>
    <n v="10.3"/>
  </r>
  <r>
    <x v="9"/>
    <x v="0"/>
    <x v="5"/>
    <x v="7"/>
    <x v="13"/>
    <n v="191"/>
    <n v="1997"/>
    <s v="2.0x1.4"/>
    <n v="1.25"/>
    <n v="1716"/>
    <n v="1372.8"/>
    <m/>
    <x v="242"/>
    <n v="3.5200000000000005"/>
    <n v="5.1282051282051286"/>
    <d v="2009-10-22T00:00:00"/>
    <x v="2"/>
    <n v="3.85"/>
    <n v="3.9"/>
  </r>
  <r>
    <x v="10"/>
    <x v="0"/>
    <x v="5"/>
    <x v="7"/>
    <x v="13"/>
    <n v="191"/>
    <n v="1997"/>
    <s v="2.0x1.4"/>
    <n v="1.25"/>
    <n v="1716"/>
    <n v="1372.8"/>
    <n v="145"/>
    <x v="130"/>
    <n v="3.472"/>
    <n v="5.0582750582750586"/>
    <d v="2010-11-02T00:00:00"/>
    <x v="6"/>
    <n v="3.25"/>
    <n v="9.5"/>
  </r>
  <r>
    <x v="11"/>
    <x v="0"/>
    <x v="5"/>
    <x v="7"/>
    <x v="13"/>
    <n v="191"/>
    <n v="1997"/>
    <s v="2.0x1.4"/>
    <n v="1.25"/>
    <n v="1716"/>
    <n v="1372.8"/>
    <n v="185"/>
    <x v="242"/>
    <n v="3.5200000000000005"/>
    <n v="5.1282051282051286"/>
    <d v="2011-11-09T00:00:00"/>
    <x v="40"/>
    <n v="3.25"/>
    <n v="8.4"/>
  </r>
  <r>
    <x v="12"/>
    <x v="0"/>
    <x v="5"/>
    <x v="7"/>
    <x v="13"/>
    <n v="191"/>
    <n v="1997"/>
    <s v="2.0x1.4"/>
    <n v="1.25"/>
    <n v="1716"/>
    <n v="1372.8"/>
    <m/>
    <x v="243"/>
    <n v="3.6159999999999997"/>
    <n v="5.2680652680652678"/>
    <d v="2012-10-30T00:00:00"/>
    <x v="14"/>
    <n v="3.36"/>
    <n v="5.92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3"/>
    <x v="0"/>
    <x v="14"/>
    <s v="NY"/>
    <n v="1965"/>
    <s v="10x7"/>
    <n v="1.25"/>
    <n v="780"/>
    <n v="624"/>
    <n v="103"/>
    <x v="244"/>
    <n v="3.4988000000000001"/>
    <n v="11.214102564102564"/>
    <d v="2000-10-16T00:00:00"/>
    <x v="3"/>
    <n v="3.3"/>
    <n v="10.5"/>
  </r>
  <r>
    <x v="1"/>
    <x v="0"/>
    <x v="3"/>
    <x v="0"/>
    <x v="14"/>
    <s v="NY"/>
    <n v="1965"/>
    <s v="10x7"/>
    <n v="1.25"/>
    <n v="780"/>
    <n v="624"/>
    <n v="95"/>
    <x v="245"/>
    <n v="2.7839999999999998"/>
    <n v="8.9230769230769234"/>
    <d v="2002-10-05T00:00:00"/>
    <x v="80"/>
    <n v="3.48"/>
    <n v="9"/>
  </r>
  <r>
    <x v="2"/>
    <x v="0"/>
    <x v="3"/>
    <x v="0"/>
    <x v="14"/>
    <s v="NY"/>
    <n v="1965"/>
    <s v="10x7"/>
    <n v="1.25"/>
    <n v="780"/>
    <n v="624"/>
    <n v="135"/>
    <x v="246"/>
    <n v="2.4239999999999999"/>
    <n v="7.7692307692307692"/>
    <d v="2003-10-04T00:00:00"/>
    <x v="81"/>
    <n v="3.57"/>
    <n v="7.4"/>
  </r>
  <r>
    <x v="3"/>
    <x v="0"/>
    <x v="3"/>
    <x v="0"/>
    <x v="14"/>
    <s v="NY"/>
    <n v="1965"/>
    <s v="10x7"/>
    <n v="1.25"/>
    <n v="780"/>
    <n v="624"/>
    <n v="93.3"/>
    <x v="247"/>
    <n v="1.7120000000000002"/>
    <n v="5.4871794871794872"/>
    <d v="2003-09-25T00:00:00"/>
    <x v="82"/>
    <n v="3.64"/>
    <n v="7.7"/>
  </r>
  <r>
    <x v="4"/>
    <x v="0"/>
    <x v="3"/>
    <x v="0"/>
    <x v="14"/>
    <s v="NY"/>
    <n v="1965"/>
    <s v="10x7"/>
    <n v="1.25"/>
    <n v="780"/>
    <n v="624"/>
    <n v="80"/>
    <x v="248"/>
    <n v="2.2399999999999998"/>
    <n v="7.1794871794871797"/>
    <d v="2004-09-28T00:00:00"/>
    <x v="53"/>
    <n v="3.73"/>
    <n v="8.6999999999999993"/>
  </r>
  <r>
    <x v="5"/>
    <x v="0"/>
    <x v="3"/>
    <x v="0"/>
    <x v="14"/>
    <s v="NY"/>
    <n v="1965"/>
    <s v="10x7"/>
    <n v="1.25"/>
    <n v="780"/>
    <n v="624"/>
    <n v="68"/>
    <x v="248"/>
    <n v="2.2399999999999998"/>
    <n v="7.1794871794871797"/>
    <d v="2004-09-28T00:00:00"/>
    <x v="83"/>
    <n v="3.58"/>
    <n v="8.1999999999999993"/>
  </r>
  <r>
    <x v="6"/>
    <x v="0"/>
    <x v="3"/>
    <x v="0"/>
    <x v="14"/>
    <s v="NY"/>
    <n v="1965"/>
    <s v="10x7"/>
    <n v="1.25"/>
    <n v="780"/>
    <n v="624"/>
    <n v="85"/>
    <x v="249"/>
    <n v="2.6399999999999997"/>
    <n v="8.4615384615384617"/>
    <d v="2006-09-27T00:00:00"/>
    <x v="7"/>
    <n v="3.57"/>
    <n v="6.74"/>
  </r>
  <r>
    <x v="7"/>
    <x v="0"/>
    <x v="3"/>
    <x v="0"/>
    <x v="14"/>
    <s v="NY"/>
    <n v="1965"/>
    <s v="10x7"/>
    <n v="1.25"/>
    <n v="780"/>
    <n v="624"/>
    <n v="92"/>
    <x v="183"/>
    <n v="3.12"/>
    <n v="10"/>
    <d v="2007-10-01T00:00:00"/>
    <x v="65"/>
    <n v="3.73"/>
    <n v="7.5"/>
  </r>
  <r>
    <x v="8"/>
    <x v="0"/>
    <x v="3"/>
    <x v="0"/>
    <x v="14"/>
    <s v="NY"/>
    <n v="1965"/>
    <s v="10x7"/>
    <n v="1.25"/>
    <n v="780"/>
    <n v="624"/>
    <n v="115"/>
    <x v="250"/>
    <n v="6.7200000000000006"/>
    <n v="21.53846153846154"/>
    <d v="2008-09-30T00:00:00"/>
    <x v="23"/>
    <n v="3.38"/>
    <n v="9.1"/>
  </r>
  <r>
    <x v="9"/>
    <x v="0"/>
    <x v="3"/>
    <x v="0"/>
    <x v="14"/>
    <s v="NY"/>
    <n v="1965"/>
    <s v="10x7"/>
    <n v="1.25"/>
    <n v="780"/>
    <n v="624"/>
    <n v="155"/>
    <x v="7"/>
    <n v="4.4799999999999995"/>
    <n v="14.358974358974359"/>
    <d v="2009-09-28T00:00:00"/>
    <x v="84"/>
    <n v="4.0199999999999996"/>
    <n v="7.5"/>
  </r>
  <r>
    <x v="10"/>
    <x v="0"/>
    <x v="3"/>
    <x v="0"/>
    <x v="14"/>
    <s v="NY"/>
    <n v="1965"/>
    <s v="10x7"/>
    <n v="1.25"/>
    <n v="780"/>
    <n v="624"/>
    <n v="133"/>
    <x v="183"/>
    <n v="3.12"/>
    <n v="10"/>
    <d v="2010-10-04T00:00:00"/>
    <x v="85"/>
    <n v="3.53"/>
    <n v="10.4"/>
  </r>
  <r>
    <x v="11"/>
    <x v="0"/>
    <x v="3"/>
    <x v="0"/>
    <x v="14"/>
    <s v="NY"/>
    <n v="1965"/>
    <s v="10x7"/>
    <n v="1.25"/>
    <n v="780"/>
    <n v="624"/>
    <n v="178"/>
    <x v="251"/>
    <n v="4.2240000000000002"/>
    <n v="13.538461538461538"/>
    <d v="2011-10-03T00:00:00"/>
    <x v="9"/>
    <n v="3.6"/>
    <n v="8.6"/>
  </r>
  <r>
    <x v="12"/>
    <x v="0"/>
    <x v="3"/>
    <x v="0"/>
    <x v="14"/>
    <s v="NY"/>
    <n v="1965"/>
    <s v="10x7"/>
    <n v="1.25"/>
    <n v="780"/>
    <n v="624"/>
    <n v="125"/>
    <x v="252"/>
    <n v="3.3679999999999999"/>
    <n v="10.794871794871796"/>
    <d v="2012-09-26T00:00:00"/>
    <x v="82"/>
    <n v="3.78"/>
    <n v="7.5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4"/>
    <x v="2"/>
    <x v="14"/>
    <s v="NY"/>
    <n v="1965"/>
    <s v="10x7"/>
    <n v="0.88"/>
    <n v="550"/>
    <n v="625"/>
    <n v="91"/>
    <x v="253"/>
    <e v="#REF!"/>
    <e v="#REF!"/>
    <d v="2000-10-19T00:00:00"/>
    <x v="86"/>
    <n v="3.25"/>
    <n v="11.6"/>
  </r>
  <r>
    <x v="1"/>
    <x v="0"/>
    <x v="4"/>
    <x v="2"/>
    <x v="14"/>
    <s v="NY"/>
    <n v="1965"/>
    <s v="10x7"/>
    <n v="0.88"/>
    <n v="550"/>
    <n v="625"/>
    <n v="103"/>
    <x v="254"/>
    <e v="#REF!"/>
    <n v="14.218181818181819"/>
    <d v="2002-10-05T00:00:00"/>
    <x v="87"/>
    <n v="3.38"/>
    <n v="9.5"/>
  </r>
  <r>
    <x v="2"/>
    <x v="0"/>
    <x v="4"/>
    <x v="2"/>
    <x v="14"/>
    <s v="NY"/>
    <n v="1965"/>
    <s v="10x7"/>
    <n v="1.6"/>
    <n v="550"/>
    <n v="343.75"/>
    <n v="135"/>
    <x v="255"/>
    <e v="#REF!"/>
    <n v="17.600000000000001"/>
    <d v="2003-10-04T00:00:00"/>
    <x v="81"/>
    <n v="3.57"/>
    <n v="7.4"/>
  </r>
  <r>
    <x v="3"/>
    <x v="0"/>
    <x v="4"/>
    <x v="2"/>
    <x v="14"/>
    <s v="NY"/>
    <n v="1965"/>
    <s v="10x7"/>
    <n v="1.6"/>
    <n v="550"/>
    <n v="343.75"/>
    <n v="135"/>
    <x v="31"/>
    <n v="3.25"/>
    <n v="18.90909090909091"/>
    <d v="2003-09-25T00:00:00"/>
    <x v="82"/>
    <n v="3.64"/>
    <n v="7.7"/>
  </r>
  <r>
    <x v="4"/>
    <x v="0"/>
    <x v="4"/>
    <x v="2"/>
    <x v="14"/>
    <s v="NY"/>
    <n v="1965"/>
    <s v="10x7"/>
    <n v="1.6"/>
    <n v="550"/>
    <n v="343.75"/>
    <n v="117"/>
    <x v="188"/>
    <n v="2.8749999999999996"/>
    <n v="16.727272727272727"/>
    <d v="2004-09-28T00:00:00"/>
    <x v="81"/>
    <n v="3.59"/>
    <n v="7.8"/>
  </r>
  <r>
    <x v="5"/>
    <x v="0"/>
    <x v="4"/>
    <x v="2"/>
    <x v="14"/>
    <s v="NY"/>
    <n v="1965"/>
    <s v="10x7"/>
    <n v="1.6"/>
    <n v="550"/>
    <n v="343.75"/>
    <n v="107"/>
    <x v="152"/>
    <n v="4.375"/>
    <n v="25.454545454545453"/>
    <d v="2004-09-28T00:00:00"/>
    <x v="83"/>
    <n v="3.58"/>
    <n v="8.1999999999999993"/>
  </r>
  <r>
    <x v="6"/>
    <x v="0"/>
    <x v="4"/>
    <x v="2"/>
    <x v="14"/>
    <s v="NY"/>
    <n v="1965"/>
    <s v="10x7"/>
    <n v="1.6"/>
    <n v="550"/>
    <n v="343.75"/>
    <m/>
    <x v="7"/>
    <n v="3.4999999999999996"/>
    <n v="20.363636363636363"/>
    <d v="2006-09-27T00:00:00"/>
    <x v="7"/>
    <n v="3.57"/>
    <n v="6.7"/>
  </r>
  <r>
    <x v="7"/>
    <x v="0"/>
    <x v="4"/>
    <x v="2"/>
    <x v="14"/>
    <s v="NY"/>
    <n v="1965"/>
    <s v="10x7"/>
    <n v="1.6"/>
    <n v="550"/>
    <n v="343.75"/>
    <n v="103"/>
    <x v="225"/>
    <n v="4.875"/>
    <n v="28.363636363636363"/>
    <d v="2007-10-01T00:00:00"/>
    <x v="65"/>
    <n v="3.73"/>
    <n v="7.5"/>
  </r>
  <r>
    <x v="8"/>
    <x v="0"/>
    <x v="4"/>
    <x v="2"/>
    <x v="14"/>
    <s v="NY"/>
    <n v="1965"/>
    <s v="10x7"/>
    <n v="1.6"/>
    <n v="550"/>
    <n v="343.75"/>
    <n v="123"/>
    <x v="43"/>
    <n v="6.8125"/>
    <n v="39.636363636363633"/>
    <d v="2008-09-30T00:00:00"/>
    <x v="23"/>
    <n v="3.38"/>
    <n v="9.1"/>
  </r>
  <r>
    <x v="9"/>
    <x v="0"/>
    <x v="4"/>
    <x v="2"/>
    <x v="14"/>
    <s v="NY"/>
    <n v="1965"/>
    <s v="10x7"/>
    <n v="1.6"/>
    <n v="550"/>
    <n v="343.75"/>
    <n v="123"/>
    <x v="92"/>
    <n v="2.8125"/>
    <n v="16.363636363636363"/>
    <d v="2009-09-29T00:00:00"/>
    <x v="84"/>
    <n v="4.0199999999999996"/>
    <n v="7.5"/>
  </r>
  <r>
    <x v="10"/>
    <x v="0"/>
    <x v="4"/>
    <x v="2"/>
    <x v="14"/>
    <s v="NY"/>
    <n v="1965"/>
    <s v="10x7"/>
    <n v="1.6"/>
    <n v="550"/>
    <n v="343.75"/>
    <n v="107"/>
    <x v="256"/>
    <n v="3.6249999999999996"/>
    <n v="21.09090909090909"/>
    <d v="2010-10-04T00:00:00"/>
    <x v="85"/>
    <n v="3.53"/>
    <n v="10.4"/>
  </r>
  <r>
    <x v="11"/>
    <x v="0"/>
    <x v="4"/>
    <x v="2"/>
    <x v="14"/>
    <s v="NY"/>
    <n v="1965"/>
    <s v="10x7"/>
    <n v="1.6"/>
    <n v="550"/>
    <n v="343.75"/>
    <n v="130"/>
    <x v="257"/>
    <n v="2.4874999999999998"/>
    <n v="14.472727272727273"/>
    <d v="2011-10-04T00:00:00"/>
    <x v="9"/>
    <n v="3.6"/>
    <n v="8.6"/>
  </r>
  <r>
    <x v="12"/>
    <x v="0"/>
    <x v="4"/>
    <x v="2"/>
    <x v="14"/>
    <s v="NY"/>
    <n v="1965"/>
    <s v="10x7"/>
    <n v="1.6"/>
    <n v="550"/>
    <n v="343.75"/>
    <n v="108"/>
    <x v="183"/>
    <n v="2.4375"/>
    <n v="14.181818181818182"/>
    <d v="2012-09-26T00:00:00"/>
    <x v="82"/>
    <n v="3.78"/>
    <n v="7.5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4"/>
    <x v="3"/>
    <x v="14"/>
    <s v="NY"/>
    <n v="1997"/>
    <m/>
    <n v="1.83"/>
    <n v="1515"/>
    <n v="827.86885245901635"/>
    <m/>
    <x v="13"/>
    <m/>
    <m/>
    <m/>
    <x v="10"/>
    <m/>
    <m/>
  </r>
  <r>
    <x v="1"/>
    <x v="0"/>
    <x v="4"/>
    <x v="3"/>
    <x v="14"/>
    <s v="NY"/>
    <n v="1997"/>
    <m/>
    <n v="1.83"/>
    <n v="1515"/>
    <n v="827.86885245901635"/>
    <n v="100"/>
    <x v="258"/>
    <n v="2.1912568306010929"/>
    <n v="5.2937293729372934"/>
    <d v="2002-10-11T00:00:00"/>
    <x v="87"/>
    <n v="3.69"/>
    <n v="6.1"/>
  </r>
  <r>
    <x v="2"/>
    <x v="0"/>
    <x v="4"/>
    <x v="3"/>
    <x v="14"/>
    <s v="NY"/>
    <n v="1997"/>
    <m/>
    <n v="1.83"/>
    <n v="1515"/>
    <n v="827.86885245901635"/>
    <m/>
    <x v="259"/>
    <n v="5.3989071038251364"/>
    <n v="13.042904290429043"/>
    <m/>
    <x v="10"/>
    <m/>
    <m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2"/>
    <x v="10"/>
    <x v="15"/>
    <n v="509"/>
    <n v="1998"/>
    <s v="2.0x1.4"/>
    <n v="0.91"/>
    <n v="1257"/>
    <n v="1381.3186813186812"/>
    <m/>
    <x v="260"/>
    <n v="3.191208791208791"/>
    <n v="4.6205250596658711"/>
    <d v="2002-10-28T00:00:00"/>
    <x v="27"/>
    <n v="3.08"/>
    <n v="8.8000000000000007"/>
  </r>
  <r>
    <x v="1"/>
    <x v="0"/>
    <x v="2"/>
    <x v="10"/>
    <x v="15"/>
    <n v="509"/>
    <n v="1998"/>
    <s v="2.0x1.4"/>
    <n v="0.91"/>
    <n v="1257"/>
    <n v="1381.3186813186812"/>
    <n v="260"/>
    <x v="261"/>
    <n v="3.9670329670329667"/>
    <n v="5.7438345266507556"/>
    <d v="2001-10-31T00:00:00"/>
    <x v="4"/>
    <n v="3.15"/>
    <n v="10.199999999999999"/>
  </r>
  <r>
    <x v="2"/>
    <x v="0"/>
    <x v="2"/>
    <x v="10"/>
    <x v="15"/>
    <n v="509"/>
    <n v="1998"/>
    <s v="2.0x1.4"/>
    <n v="0.91"/>
    <n v="1257"/>
    <n v="1381.3186813186812"/>
    <m/>
    <x v="262"/>
    <n v="3.1428571428571428"/>
    <n v="4.5505171042163886"/>
    <d v="2003-10-23T00:00:00"/>
    <x v="63"/>
    <n v="3.41"/>
    <n v="7.2"/>
  </r>
  <r>
    <x v="3"/>
    <x v="0"/>
    <x v="2"/>
    <x v="10"/>
    <x v="15"/>
    <n v="509"/>
    <n v="1998"/>
    <s v="2.0x1.4"/>
    <n v="0.91"/>
    <n v="1257"/>
    <n v="1381.3186813186812"/>
    <n v="203"/>
    <x v="263"/>
    <n v="2.3076923076923079"/>
    <n v="3.3412887828162292"/>
    <d v="2003-10-03T00:00:00"/>
    <x v="22"/>
    <n v="3.56"/>
    <n v="5.6"/>
  </r>
  <r>
    <x v="4"/>
    <x v="0"/>
    <x v="2"/>
    <x v="10"/>
    <x v="15"/>
    <n v="509"/>
    <n v="1998"/>
    <s v="2.0x1.4"/>
    <n v="0.91"/>
    <n v="1257"/>
    <n v="1381.3186813186812"/>
    <n v="212"/>
    <x v="183"/>
    <n v="4.2857142857142856"/>
    <n v="6.2052505966587113"/>
    <d v="1900-01-23T19:12:00"/>
    <x v="5"/>
    <n v="5.7"/>
    <m/>
  </r>
  <r>
    <x v="5"/>
    <x v="0"/>
    <x v="2"/>
    <x v="10"/>
    <x v="15"/>
    <n v="509"/>
    <n v="1998"/>
    <s v="2.0x1.4"/>
    <n v="0.91"/>
    <n v="1257"/>
    <n v="1381.3186813186812"/>
    <s v=" "/>
    <x v="264"/>
    <n v="1.5384615384615383"/>
    <n v="2.2275258552108195"/>
    <d v="2005-10-20T00:00:00"/>
    <x v="2"/>
    <n v="3.4"/>
    <n v="7.4"/>
  </r>
  <r>
    <x v="6"/>
    <x v="0"/>
    <x v="2"/>
    <x v="10"/>
    <x v="15"/>
    <n v="509"/>
    <n v="1998"/>
    <s v="2.0x1.4"/>
    <n v="0.91"/>
    <n v="1257"/>
    <n v="1381.3186813186812"/>
    <m/>
    <x v="265"/>
    <n v="8.4615384615384617"/>
    <n v="12.251392203659506"/>
    <d v="2006-11-01T00:00:00"/>
    <x v="10"/>
    <m/>
    <m/>
  </r>
  <r>
    <x v="7"/>
    <x v="0"/>
    <x v="2"/>
    <x v="10"/>
    <x v="15"/>
    <n v="509"/>
    <n v="1998"/>
    <s v="2.0x1.4"/>
    <n v="0.91"/>
    <n v="1257"/>
    <n v="1381.3186813186812"/>
    <n v="130"/>
    <x v="202"/>
    <n v="4.6153846153846159"/>
    <n v="6.6825775656324584"/>
    <d v="2007-10-16T00:00:00"/>
    <x v="14"/>
    <n v="3.15"/>
    <n v="11.1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4"/>
    <x v="1"/>
    <x v="15"/>
    <n v="509"/>
    <n v="1993"/>
    <m/>
    <n v="3.14"/>
    <n v="3418"/>
    <n v="1088.5350318471337"/>
    <n v="195"/>
    <x v="266"/>
    <n v="3.1496815286624202"/>
    <n v="5.7870099473376246"/>
    <d v="2000-10-28T00:00:00"/>
    <x v="88"/>
    <n v="3.09"/>
    <n v="11.4"/>
  </r>
  <r>
    <x v="1"/>
    <x v="0"/>
    <x v="4"/>
    <x v="1"/>
    <x v="15"/>
    <n v="509"/>
    <n v="1993"/>
    <m/>
    <n v="3.14"/>
    <n v="3418"/>
    <n v="1088.5350318471337"/>
    <n v="280"/>
    <x v="267"/>
    <n v="4.0668789808917198"/>
    <n v="7.4722059684025748"/>
    <d v="2001-10-31T00:00:00"/>
    <x v="4"/>
    <n v="3.15"/>
    <n v="10.199999999999999"/>
  </r>
  <r>
    <x v="2"/>
    <x v="0"/>
    <x v="4"/>
    <x v="1"/>
    <x v="15"/>
    <n v="509"/>
    <n v="1993"/>
    <m/>
    <n v="3.14"/>
    <n v="3418"/>
    <n v="1088.5350318471337"/>
    <m/>
    <x v="268"/>
    <n v="2.7643312101910826"/>
    <n v="5.0789935634874199"/>
    <d v="2003-10-23T00:00:00"/>
    <x v="63"/>
    <n v="3.27"/>
    <n v="8.6"/>
  </r>
  <r>
    <x v="3"/>
    <x v="0"/>
    <x v="4"/>
    <x v="1"/>
    <x v="15"/>
    <n v="509"/>
    <n v="1993"/>
    <m/>
    <n v="3.14"/>
    <n v="3418"/>
    <n v="1088.5350318471337"/>
    <n v="169"/>
    <x v="147"/>
    <n v="3.0254777070063694"/>
    <n v="5.558806319485079"/>
    <d v="2003-10-15T00:00:00"/>
    <x v="8"/>
    <n v="3.38"/>
    <n v="5.7"/>
  </r>
  <r>
    <x v="4"/>
    <x v="0"/>
    <x v="4"/>
    <x v="1"/>
    <x v="15"/>
    <n v="509"/>
    <n v="1993"/>
    <m/>
    <n v="3.14"/>
    <n v="3418"/>
    <n v="1088.5350318471337"/>
    <n v="240"/>
    <x v="269"/>
    <n v="5.1273885350318471"/>
    <n v="9.4207138677589253"/>
    <d v="2004-10-20T00:00:00"/>
    <x v="22"/>
    <n v="3.38"/>
    <n v="6.7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0"/>
    <x v="4"/>
    <x v="16"/>
    <s v="mix"/>
    <n v="1997"/>
    <s v="8x4"/>
    <n v="0.91"/>
    <n v="1515"/>
    <n v="1664.8351648351647"/>
    <m/>
    <x v="270"/>
    <n v="2.412087912087912"/>
    <n v="2.8976897689768979"/>
    <m/>
    <x v="26"/>
    <n v="3.16"/>
    <n v="8.1999999999999993"/>
  </r>
  <r>
    <x v="1"/>
    <x v="0"/>
    <x v="0"/>
    <x v="4"/>
    <x v="16"/>
    <s v="mix"/>
    <n v="1997"/>
    <s v="8x4"/>
    <n v="0.91"/>
    <n v="1515"/>
    <n v="1664.8351648351647"/>
    <m/>
    <x v="271"/>
    <n v="3.9890109890109886"/>
    <n v="4.7920792079207919"/>
    <m/>
    <x v="5"/>
    <n v="3.25"/>
    <n v="8.8000000000000007"/>
  </r>
  <r>
    <x v="2"/>
    <x v="0"/>
    <x v="0"/>
    <x v="4"/>
    <x v="16"/>
    <s v="mix"/>
    <n v="1997"/>
    <s v="8x4"/>
    <n v="0.91"/>
    <n v="1515"/>
    <n v="1664.8351648351647"/>
    <n v="238"/>
    <x v="146"/>
    <n v="4.1758241758241752"/>
    <n v="5.0165016501650168"/>
    <d v="2003-10-25T00:00:00"/>
    <x v="79"/>
    <n v="3.62"/>
    <n v="5"/>
  </r>
  <r>
    <x v="3"/>
    <x v="0"/>
    <x v="0"/>
    <x v="4"/>
    <x v="16"/>
    <s v="mix"/>
    <n v="1997"/>
    <s v="8x4"/>
    <n v="0.91"/>
    <n v="1515"/>
    <n v="1664.8351648351647"/>
    <n v="293"/>
    <x v="185"/>
    <n v="3.7362637362637359"/>
    <n v="4.4884488448844886"/>
    <d v="2003-10-08T00:00:00"/>
    <x v="86"/>
    <n v="3.61"/>
    <n v="4.4000000000000004"/>
  </r>
  <r>
    <x v="4"/>
    <x v="0"/>
    <x v="0"/>
    <x v="4"/>
    <x v="16"/>
    <s v="mix"/>
    <n v="1997"/>
    <s v="8x4"/>
    <n v="0.91"/>
    <n v="1515"/>
    <n v="1664.8351648351647"/>
    <n v="190"/>
    <x v="32"/>
    <n v="5.4945054945054945"/>
    <n v="6.6006600660066006"/>
    <d v="2004-10-26T00:00:00"/>
    <x v="23"/>
    <n v="3.59"/>
    <n v="6.1"/>
  </r>
  <r>
    <x v="5"/>
    <x v="0"/>
    <x v="0"/>
    <x v="4"/>
    <x v="16"/>
    <s v="mix"/>
    <n v="1997"/>
    <s v="8x4"/>
    <n v="0.91"/>
    <n v="1515"/>
    <n v="1664.8351648351647"/>
    <n v="210"/>
    <x v="272"/>
    <n v="3.1868131868131866"/>
    <n v="3.8283828382838285"/>
    <d v="2005-10-21T00:00:00"/>
    <x v="63"/>
    <n v="3.36"/>
    <n v="6.4"/>
  </r>
  <r>
    <x v="6"/>
    <x v="0"/>
    <x v="0"/>
    <x v="4"/>
    <x v="16"/>
    <s v="mix"/>
    <n v="1997"/>
    <s v="8x4"/>
    <n v="0.91"/>
    <n v="1515"/>
    <n v="1664.8351648351647"/>
    <n v="206"/>
    <x v="230"/>
    <n v="5.1648351648351651"/>
    <n v="6.2046204620462042"/>
    <d v="2006-11-03T00:00:00"/>
    <x v="5"/>
    <n v="3.68"/>
    <n v="5.6"/>
  </r>
  <r>
    <x v="7"/>
    <x v="0"/>
    <x v="0"/>
    <x v="4"/>
    <x v="16"/>
    <s v="mix"/>
    <n v="1997"/>
    <s v="8x4"/>
    <n v="0.91"/>
    <n v="1515"/>
    <n v="1664.8351648351647"/>
    <n v="158"/>
    <x v="273"/>
    <n v="1.8681318681318679"/>
    <n v="2.2442244224422443"/>
    <d v="2007-10-24T00:00:00"/>
    <x v="2"/>
    <n v="3.58"/>
    <n v="5.9"/>
  </r>
  <r>
    <x v="8"/>
    <x v="0"/>
    <x v="0"/>
    <x v="4"/>
    <x v="16"/>
    <s v="mix"/>
    <n v="1997"/>
    <s v="8x4"/>
    <n v="0.91"/>
    <n v="1515"/>
    <n v="1664.8351648351647"/>
    <n v="235"/>
    <x v="183"/>
    <n v="4.2857142857142856"/>
    <n v="5.1485148514851486"/>
    <d v="2008-10-30T00:00:00"/>
    <x v="87"/>
    <n v="3.62"/>
    <n v="9.5"/>
  </r>
  <r>
    <x v="9"/>
    <x v="0"/>
    <x v="0"/>
    <x v="4"/>
    <x v="16"/>
    <s v="mix"/>
    <n v="1997"/>
    <s v="8x4"/>
    <n v="0.91"/>
    <n v="1515"/>
    <n v="1664.8351648351647"/>
    <m/>
    <x v="273"/>
    <n v="1.8681318681318679"/>
    <n v="2.2442244224422443"/>
    <d v="2009-10-21T00:00:00"/>
    <x v="85"/>
    <n v="4.0999999999999996"/>
    <n v="4.2"/>
  </r>
  <r>
    <x v="10"/>
    <x v="0"/>
    <x v="0"/>
    <x v="4"/>
    <x v="16"/>
    <s v="mix"/>
    <n v="1997"/>
    <s v="8x4"/>
    <n v="0.91"/>
    <n v="1515"/>
    <n v="1664.8351648351647"/>
    <m/>
    <x v="274"/>
    <n v="2.9670329670329672"/>
    <n v="3.5643564356435644"/>
    <d v="2010-10-13T00:00:00"/>
    <x v="8"/>
    <n v="3.44"/>
    <n v="10.5"/>
  </r>
  <r>
    <x v="11"/>
    <x v="0"/>
    <x v="0"/>
    <x v="4"/>
    <x v="16"/>
    <s v="mix"/>
    <n v="1997"/>
    <s v="8x4"/>
    <n v="0.91"/>
    <n v="1515"/>
    <n v="1664.8351648351647"/>
    <m/>
    <x v="275"/>
    <n v="2.6483516483516483"/>
    <n v="3.1815181518151814"/>
    <d v="2011-11-08T00:00:00"/>
    <x v="22"/>
    <n v="3.48"/>
    <n v="5.0999999999999996"/>
  </r>
  <r>
    <x v="12"/>
    <x v="0"/>
    <x v="0"/>
    <x v="4"/>
    <x v="16"/>
    <s v="mix"/>
    <n v="1997"/>
    <s v="8x4"/>
    <n v="0.91"/>
    <n v="1515"/>
    <n v="1664.8351648351647"/>
    <m/>
    <x v="276"/>
    <n v="3.8791208791208787"/>
    <n v="4.6600660066006601"/>
    <d v="2012-10-28T00:00:00"/>
    <x v="2"/>
    <n v="3.58"/>
    <n v="4.42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2"/>
    <x v="0"/>
    <x v="16"/>
    <n v="181"/>
    <n v="1998"/>
    <s v="6.9x4.6"/>
    <n v="3.27"/>
    <n v="4500"/>
    <n v="1376.1467889908256"/>
    <m/>
    <x v="277"/>
    <n v="1.8110091743119265"/>
    <n v="2.6320000000000001"/>
    <m/>
    <x v="86"/>
    <n v="3.15"/>
    <n v="7.2"/>
  </r>
  <r>
    <x v="1"/>
    <x v="0"/>
    <x v="2"/>
    <x v="0"/>
    <x v="16"/>
    <n v="181"/>
    <n v="1998"/>
    <s v="6.9x4.6"/>
    <n v="3.27"/>
    <n v="4500"/>
    <n v="1376.1467889908256"/>
    <n v="193"/>
    <x v="278"/>
    <n v="3.3272171253822633"/>
    <n v="4.8355555555555556"/>
    <m/>
    <x v="5"/>
    <n v="3.34"/>
    <n v="7.1"/>
  </r>
  <r>
    <x v="2"/>
    <x v="0"/>
    <x v="2"/>
    <x v="0"/>
    <x v="16"/>
    <n v="181"/>
    <n v="1998"/>
    <s v="6.9x4.6"/>
    <n v="3.27"/>
    <n v="4500"/>
    <n v="1376.1467889908256"/>
    <n v="242"/>
    <x v="279"/>
    <n v="2.9082568807339451"/>
    <n v="4.2266666666666666"/>
    <d v="2003-10-24T00:00:00"/>
    <x v="79"/>
    <n v="3.75"/>
    <n v="5.0999999999999996"/>
  </r>
  <r>
    <x v="3"/>
    <x v="0"/>
    <x v="2"/>
    <x v="0"/>
    <x v="16"/>
    <n v="181"/>
    <n v="1998"/>
    <s v="6.9x4.6"/>
    <n v="3.27"/>
    <n v="4500"/>
    <n v="1376.1467889908256"/>
    <n v="115"/>
    <x v="67"/>
    <n v="3.6085626911314987"/>
    <n v="5.2444444444444445"/>
    <d v="2003-10-02T00:00:00"/>
    <x v="86"/>
    <n v="3.58"/>
    <n v="5"/>
  </r>
  <r>
    <x v="4"/>
    <x v="0"/>
    <x v="2"/>
    <x v="0"/>
    <x v="16"/>
    <n v="181"/>
    <n v="1998"/>
    <s v="6.9x4.6"/>
    <n v="3.27"/>
    <n v="4500"/>
    <n v="1376.1467889908256"/>
    <n v="255"/>
    <x v="280"/>
    <n v="5.2599388379204894"/>
    <n v="7.6444444444444448"/>
    <d v="2004-10-15T00:00:00"/>
    <x v="23"/>
    <n v="3.65"/>
    <n v="4.8"/>
  </r>
  <r>
    <x v="5"/>
    <x v="0"/>
    <x v="2"/>
    <x v="0"/>
    <x v="16"/>
    <n v="181"/>
    <n v="1998"/>
    <s v="6.9x4.6"/>
    <n v="3.27"/>
    <n v="4500"/>
    <n v="1376.1467889908256"/>
    <n v="190"/>
    <x v="71"/>
    <n v="2.8134556574923546"/>
    <n v="4.0888888888888886"/>
    <d v="2005-10-18T00:00:00"/>
    <x v="3"/>
    <n v="3.52"/>
    <n v="5.3"/>
  </r>
  <r>
    <x v="6"/>
    <x v="0"/>
    <x v="2"/>
    <x v="0"/>
    <x v="16"/>
    <n v="181"/>
    <n v="1998"/>
    <s v="6.9x4.6"/>
    <n v="3.27"/>
    <n v="4500"/>
    <n v="1376.1467889908256"/>
    <n v="212"/>
    <x v="281"/>
    <n v="7.8593272171253821"/>
    <n v="11.422222222222222"/>
    <d v="2006-10-27T00:00:00"/>
    <x v="23"/>
    <n v="3.64"/>
    <n v="5.0999999999999996"/>
  </r>
  <r>
    <x v="7"/>
    <x v="0"/>
    <x v="2"/>
    <x v="0"/>
    <x v="16"/>
    <n v="181"/>
    <n v="1998"/>
    <s v="6.9x4.6"/>
    <n v="3.27"/>
    <n v="4500"/>
    <n v="1376.1467889908256"/>
    <n v="210"/>
    <x v="282"/>
    <n v="2.7217125382262997"/>
    <n v="3.9555555555555557"/>
    <d v="2007-10-24T00:00:00"/>
    <x v="3"/>
    <n v="3.59"/>
    <n v="6.5"/>
  </r>
  <r>
    <x v="8"/>
    <x v="0"/>
    <x v="2"/>
    <x v="0"/>
    <x v="16"/>
    <n v="181"/>
    <n v="1998"/>
    <s v="6.9x4.6"/>
    <n v="3.27"/>
    <n v="4500"/>
    <n v="1376.1467889908256"/>
    <n v="200"/>
    <x v="283"/>
    <n v="3.9449541284403669"/>
    <n v="5.7333333333333334"/>
    <d v="2008-10-30T00:00:00"/>
    <x v="87"/>
    <n v="3.68"/>
    <n v="8.5"/>
  </r>
  <r>
    <x v="9"/>
    <x v="0"/>
    <x v="2"/>
    <x v="0"/>
    <x v="16"/>
    <n v="181"/>
    <n v="1998"/>
    <s v="6.9x4.6"/>
    <n v="3.27"/>
    <n v="4500"/>
    <n v="1376.1467889908256"/>
    <n v="200"/>
    <x v="155"/>
    <n v="4.4036697247706424"/>
    <n v="6.4"/>
    <d v="2009-10-21T00:00:00"/>
    <x v="8"/>
    <n v="3.94"/>
    <n v="3.7"/>
  </r>
  <r>
    <x v="10"/>
    <x v="0"/>
    <x v="2"/>
    <x v="0"/>
    <x v="16"/>
    <n v="181"/>
    <n v="1998"/>
    <s v="6.9x4.6"/>
    <n v="3.27"/>
    <n v="4500"/>
    <n v="1376.1467889908256"/>
    <m/>
    <x v="55"/>
    <n v="4.3730886850152908"/>
    <n v="6.3555555555555552"/>
    <d v="2010-10-29T00:00:00"/>
    <x v="0"/>
    <n v="3.53"/>
    <n v="9.5"/>
  </r>
  <r>
    <x v="11"/>
    <x v="0"/>
    <x v="2"/>
    <x v="0"/>
    <x v="16"/>
    <n v="181"/>
    <n v="1998"/>
    <s v="6.9x4.6"/>
    <n v="3.27"/>
    <n v="4500"/>
    <n v="1376.1467889908256"/>
    <n v="160"/>
    <x v="284"/>
    <n v="3.0030581039755351"/>
    <n v="4.3644444444444446"/>
    <d v="2011-11-08T00:00:00"/>
    <x v="2"/>
    <n v="6.45"/>
    <n v="5.3"/>
  </r>
  <r>
    <x v="12"/>
    <x v="0"/>
    <x v="2"/>
    <x v="0"/>
    <x v="16"/>
    <n v="181"/>
    <n v="1998"/>
    <s v="6.9x4.6"/>
    <n v="3.27"/>
    <n v="4500"/>
    <n v="1376.1467889908256"/>
    <m/>
    <x v="285"/>
    <n v="3.9969418960244649"/>
    <n v="5.8088888888888892"/>
    <d v="2012-10-25T00:00:00"/>
    <x v="89"/>
    <n v="3.5700000000000003"/>
    <n v="5.1099999999999994"/>
  </r>
  <r>
    <x v="13"/>
    <x v="1"/>
    <x v="1"/>
    <x v="1"/>
    <x v="1"/>
    <m/>
    <m/>
    <m/>
    <m/>
    <m/>
    <m/>
    <m/>
    <x v="13"/>
    <m/>
    <m/>
    <m/>
    <x v="10"/>
    <s v=" "/>
    <s v=" "/>
  </r>
  <r>
    <x v="0"/>
    <x v="0"/>
    <x v="2"/>
    <x v="7"/>
    <x v="16"/>
    <n v="347"/>
    <n v="1998"/>
    <s v="2.0x1.4"/>
    <n v="3.27"/>
    <n v="4500"/>
    <n v="1376.1467889908256"/>
    <m/>
    <x v="286"/>
    <n v="1.3056574923547399"/>
    <n v="1.8975555555555557"/>
    <m/>
    <x v="26"/>
    <n v="3.16"/>
    <n v="8.1999999999999993"/>
  </r>
  <r>
    <x v="1"/>
    <x v="0"/>
    <x v="2"/>
    <x v="7"/>
    <x v="16"/>
    <n v="347"/>
    <n v="1998"/>
    <s v="2.0x1.4"/>
    <n v="3.27"/>
    <n v="4500"/>
    <n v="1376.1467889908256"/>
    <m/>
    <x v="287"/>
    <n v="2.6146788990825689"/>
    <n v="3.8"/>
    <m/>
    <x v="25"/>
    <n v="3.24"/>
    <n v="8.6"/>
  </r>
  <r>
    <x v="2"/>
    <x v="0"/>
    <x v="2"/>
    <x v="7"/>
    <x v="16"/>
    <n v="347"/>
    <n v="1998"/>
    <s v="2.0x1.4"/>
    <n v="3.27"/>
    <n v="4500"/>
    <n v="1376.1467889908256"/>
    <n v="333"/>
    <x v="288"/>
    <n v="2.9235474006116209"/>
    <n v="4.2488888888888887"/>
    <d v="2003-10-25T00:00:00"/>
    <x v="63"/>
    <n v="3.51"/>
    <n v="5.5"/>
  </r>
  <r>
    <x v="3"/>
    <x v="0"/>
    <x v="2"/>
    <x v="7"/>
    <x v="16"/>
    <n v="347"/>
    <n v="1998"/>
    <s v="2.0x1.4"/>
    <n v="3.27"/>
    <n v="4500"/>
    <n v="1376.1467889908256"/>
    <n v="250"/>
    <x v="24"/>
    <n v="4.8318042813455655"/>
    <n v="7.0222222222222221"/>
    <d v="2003-10-09T00:00:00"/>
    <x v="63"/>
    <n v="3.67"/>
    <n v="5.2"/>
  </r>
  <r>
    <x v="4"/>
    <x v="0"/>
    <x v="2"/>
    <x v="7"/>
    <x v="16"/>
    <n v="347"/>
    <n v="1998"/>
    <s v="2.0x1.4"/>
    <n v="3.27"/>
    <n v="4500"/>
    <n v="1376.1467889908256"/>
    <n v="255"/>
    <x v="289"/>
    <n v="4.5871559633027523"/>
    <n v="6.666666666666667"/>
    <d v="2004-10-21T00:00:00"/>
    <x v="90"/>
    <n v="3.7"/>
    <n v="4.8"/>
  </r>
  <r>
    <x v="5"/>
    <x v="0"/>
    <x v="2"/>
    <x v="7"/>
    <x v="16"/>
    <n v="347"/>
    <n v="1998"/>
    <s v="2.0x1.4"/>
    <n v="3.27"/>
    <n v="4500"/>
    <n v="1376.1467889908256"/>
    <n v="280"/>
    <x v="20"/>
    <n v="4.8929663608562688"/>
    <n v="7.1111111111111107"/>
    <d v="2005-10-21T00:00:00"/>
    <x v="5"/>
    <n v="3.42"/>
    <n v="5.5"/>
  </r>
  <r>
    <x v="6"/>
    <x v="0"/>
    <x v="2"/>
    <x v="7"/>
    <x v="16"/>
    <n v="347"/>
    <n v="1998"/>
    <s v="2.0x1.4"/>
    <n v="3.27"/>
    <n v="4500"/>
    <n v="1376.1467889908256"/>
    <n v="255"/>
    <x v="290"/>
    <n v="6.6360856269113144"/>
    <n v="9.6444444444444439"/>
    <d v="2006-11-01T00:00:00"/>
    <x v="21"/>
    <n v="3.74"/>
    <n v="4.7"/>
  </r>
  <r>
    <x v="7"/>
    <x v="0"/>
    <x v="2"/>
    <x v="7"/>
    <x v="16"/>
    <n v="347"/>
    <n v="1998"/>
    <s v="2.0x1.4"/>
    <n v="3.27"/>
    <n v="4500"/>
    <n v="1376.1467889908256"/>
    <n v="158"/>
    <x v="291"/>
    <n v="3.0886850152905199"/>
    <n v="4.4888888888888889"/>
    <d v="2007-10-24T00:00:00"/>
    <x v="14"/>
    <n v="3.51"/>
    <n v="5.7"/>
  </r>
  <r>
    <x v="8"/>
    <x v="0"/>
    <x v="2"/>
    <x v="7"/>
    <x v="16"/>
    <n v="347"/>
    <n v="1998"/>
    <s v="2.0x1.4"/>
    <n v="3.27"/>
    <n v="4500"/>
    <n v="1376.1467889908256"/>
    <n v="185"/>
    <x v="224"/>
    <n v="3.0275229357798166"/>
    <n v="4.4000000000000004"/>
    <d v="2008-10-29T00:00:00"/>
    <x v="82"/>
    <n v="3.49"/>
    <n v="7.5"/>
  </r>
  <r>
    <x v="9"/>
    <x v="0"/>
    <x v="2"/>
    <x v="7"/>
    <x v="16"/>
    <n v="347"/>
    <n v="1998"/>
    <s v="2.0x1.4"/>
    <n v="3.27"/>
    <n v="4500"/>
    <n v="1376.1467889908256"/>
    <m/>
    <x v="179"/>
    <n v="3.5168195718654434"/>
    <n v="5.1111111111111107"/>
    <d v="2009-10-21T00:00:00"/>
    <x v="91"/>
    <n v="3.89"/>
    <n v="4"/>
  </r>
  <r>
    <x v="10"/>
    <x v="0"/>
    <x v="2"/>
    <x v="7"/>
    <x v="16"/>
    <n v="347"/>
    <n v="1998"/>
    <s v="2.0x1.4"/>
    <n v="3.27"/>
    <n v="4500"/>
    <n v="1376.1467889908256"/>
    <n v="180"/>
    <x v="50"/>
    <n v="3.3944954128440368"/>
    <n v="4.9333333333333336"/>
    <d v="2010-10-28T00:00:00"/>
    <x v="79"/>
    <n v="3.53"/>
    <n v="8.6"/>
  </r>
  <r>
    <x v="11"/>
    <x v="0"/>
    <x v="2"/>
    <x v="7"/>
    <x v="16"/>
    <n v="347"/>
    <n v="1998"/>
    <s v="2.0x1.4"/>
    <n v="3.27"/>
    <n v="4500"/>
    <n v="1376.1467889908256"/>
    <n v="130"/>
    <x v="292"/>
    <n v="2.0244648318042815"/>
    <n v="2.9422222222222221"/>
    <d v="2011-11-08T00:00:00"/>
    <x v="0"/>
    <n v="3.52"/>
    <n v="5.0999999999999996"/>
  </r>
  <r>
    <x v="12"/>
    <x v="0"/>
    <x v="2"/>
    <x v="7"/>
    <x v="16"/>
    <n v="347"/>
    <n v="1998"/>
    <s v="2.0x1.4"/>
    <n v="3.27"/>
    <n v="4500"/>
    <n v="1376.1467889908256"/>
    <m/>
    <x v="293"/>
    <n v="3.2232415902140672"/>
    <n v="4.6844444444444449"/>
    <d v="2012-10-26T00:00:00"/>
    <x v="22"/>
    <n v="3.74"/>
    <n v="4.16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2"/>
    <x v="11"/>
    <x v="16"/>
    <n v="346"/>
    <n v="1998"/>
    <s v="2.0x1.4"/>
    <n v="1.1599999999999999"/>
    <n v="1600"/>
    <n v="1379.3103448275863"/>
    <m/>
    <x v="294"/>
    <n v="3.1456896551724141"/>
    <n v="4.5612500000000002"/>
    <m/>
    <x v="26"/>
    <n v="3.16"/>
    <n v="8.1999999999999993"/>
  </r>
  <r>
    <x v="1"/>
    <x v="0"/>
    <x v="2"/>
    <x v="11"/>
    <x v="16"/>
    <n v="346"/>
    <n v="1998"/>
    <s v="2.0x1.4"/>
    <n v="1.1599999999999999"/>
    <n v="1600"/>
    <n v="1379.3103448275863"/>
    <n v="186"/>
    <x v="295"/>
    <n v="3.4741379310344831"/>
    <n v="5.0375000000000005"/>
    <m/>
    <x v="1"/>
    <n v="3.24"/>
    <n v="8.6999999999999993"/>
  </r>
  <r>
    <x v="2"/>
    <x v="0"/>
    <x v="2"/>
    <x v="11"/>
    <x v="16"/>
    <n v="346"/>
    <n v="1998"/>
    <s v="2.0x1.4"/>
    <n v="1.1599999999999999"/>
    <n v="1600"/>
    <n v="1379.3103448275863"/>
    <n v="273"/>
    <x v="296"/>
    <n v="2.9051724137931036"/>
    <n v="4.2125000000000004"/>
    <d v="2003-10-25T00:00:00"/>
    <x v="79"/>
    <n v="3.62"/>
    <n v="5"/>
  </r>
  <r>
    <x v="3"/>
    <x v="0"/>
    <x v="2"/>
    <x v="11"/>
    <x v="16"/>
    <n v="346"/>
    <n v="1998"/>
    <s v="2.0x1.4"/>
    <n v="1.1599999999999999"/>
    <n v="1600"/>
    <n v="1379.3103448275863"/>
    <n v="250"/>
    <x v="248"/>
    <n v="2.4137931034482758"/>
    <n v="3.5"/>
    <d v="2003-10-08T00:00:00"/>
    <x v="26"/>
    <n v="3.57"/>
    <n v="5"/>
  </r>
  <r>
    <x v="4"/>
    <x v="0"/>
    <x v="2"/>
    <x v="11"/>
    <x v="16"/>
    <n v="346"/>
    <n v="1998"/>
    <s v="2.0x1.4"/>
    <n v="1.1599999999999999"/>
    <n v="1600"/>
    <n v="1379.3103448275863"/>
    <m/>
    <x v="146"/>
    <n v="3.2758620689655173"/>
    <n v="4.75"/>
    <d v="2004-10-25T00:00:00"/>
    <x v="3"/>
    <n v="3.9"/>
    <n v="4.3"/>
  </r>
  <r>
    <x v="5"/>
    <x v="0"/>
    <x v="2"/>
    <x v="11"/>
    <x v="16"/>
    <n v="346"/>
    <n v="1998"/>
    <s v="2.0x1.4"/>
    <n v="1.1599999999999999"/>
    <n v="1600"/>
    <n v="1379.3103448275863"/>
    <n v="218"/>
    <x v="230"/>
    <n v="4.0517241379310347"/>
    <n v="5.875"/>
    <d v="2005-10-20T00:00:00"/>
    <x v="5"/>
    <n v="3.45"/>
    <n v="5.6"/>
  </r>
  <r>
    <x v="6"/>
    <x v="0"/>
    <x v="2"/>
    <x v="11"/>
    <x v="16"/>
    <n v="346"/>
    <n v="1998"/>
    <s v="2.0x1.4"/>
    <n v="1.1599999999999999"/>
    <n v="1600"/>
    <n v="1379.3103448275863"/>
    <n v="255"/>
    <x v="152"/>
    <n v="6.0344827586206904"/>
    <n v="8.75"/>
    <d v="2006-11-01T00:00:00"/>
    <x v="21"/>
    <n v="3.74"/>
    <n v="4.7"/>
  </r>
  <r>
    <x v="7"/>
    <x v="0"/>
    <x v="2"/>
    <x v="11"/>
    <x v="16"/>
    <n v="346"/>
    <n v="1998"/>
    <s v="2.0x1.4"/>
    <n v="1.1599999999999999"/>
    <n v="1600"/>
    <n v="1379.3103448275863"/>
    <n v="158"/>
    <x v="216"/>
    <n v="0.94827586206896564"/>
    <n v="1.375"/>
    <d v="2007-10-24T00:00:00"/>
    <x v="14"/>
    <n v="3.51"/>
    <n v="5.7"/>
  </r>
  <r>
    <x v="8"/>
    <x v="0"/>
    <x v="2"/>
    <x v="11"/>
    <x v="16"/>
    <n v="346"/>
    <n v="1998"/>
    <s v="2.0x1.4"/>
    <n v="1.1599999999999999"/>
    <n v="1600"/>
    <n v="1379.3103448275863"/>
    <n v="185"/>
    <x v="184"/>
    <n v="3.4482758620689657"/>
    <n v="5"/>
    <d v="2008-10-29T00:00:00"/>
    <x v="87"/>
    <n v="3.5"/>
    <n v="8.3000000000000007"/>
  </r>
  <r>
    <x v="9"/>
    <x v="0"/>
    <x v="2"/>
    <x v="11"/>
    <x v="16"/>
    <n v="346"/>
    <n v="1998"/>
    <s v="2.0x1.4"/>
    <n v="1.1599999999999999"/>
    <n v="1600"/>
    <n v="1379.3103448275863"/>
    <m/>
    <x v="188"/>
    <n v="3.9655172413793105"/>
    <n v="5.75"/>
    <d v="2009-10-22T00:00:00"/>
    <x v="92"/>
    <n v="3.98"/>
    <n v="4"/>
  </r>
  <r>
    <x v="10"/>
    <x v="0"/>
    <x v="2"/>
    <x v="11"/>
    <x v="16"/>
    <n v="346"/>
    <n v="1998"/>
    <s v="2.0x1.4"/>
    <n v="1.1599999999999999"/>
    <n v="1600"/>
    <n v="1379.3103448275863"/>
    <n v="180"/>
    <x v="272"/>
    <n v="2.5"/>
    <n v="3.625"/>
    <d v="2010-10-28T00:00:00"/>
    <x v="8"/>
    <n v="3.36"/>
    <n v="7"/>
  </r>
  <r>
    <x v="11"/>
    <x v="0"/>
    <x v="2"/>
    <x v="11"/>
    <x v="16"/>
    <n v="346"/>
    <n v="1998"/>
    <s v="2.0x1.4"/>
    <n v="1.1599999999999999"/>
    <n v="1600"/>
    <n v="1379.3103448275863"/>
    <n v="130"/>
    <x v="297"/>
    <n v="2.603448275862069"/>
    <n v="3.7749999999999999"/>
    <d v="2011-11-09T00:00:00"/>
    <x v="0"/>
    <n v="3.52"/>
    <n v="5.0999999999999996"/>
  </r>
  <r>
    <x v="12"/>
    <x v="0"/>
    <x v="2"/>
    <x v="11"/>
    <x v="16"/>
    <n v="346"/>
    <n v="1998"/>
    <s v="2.0x1.4"/>
    <n v="1.1599999999999999"/>
    <n v="1600"/>
    <n v="1379.3103448275863"/>
    <n v="150"/>
    <x v="298"/>
    <n v="5.0258620689655178"/>
    <n v="7.2874999999999996"/>
    <s v="26 &amp; 28 Oct"/>
    <x v="93"/>
    <n v="3.6533333333333338"/>
    <n v="4.42"/>
  </r>
  <r>
    <x v="13"/>
    <x v="1"/>
    <x v="1"/>
    <x v="1"/>
    <x v="1"/>
    <m/>
    <m/>
    <m/>
    <m/>
    <m/>
    <m/>
    <m/>
    <x v="13"/>
    <m/>
    <m/>
    <m/>
    <x v="10"/>
    <m/>
    <m/>
  </r>
  <r>
    <x v="8"/>
    <x v="0"/>
    <x v="2"/>
    <x v="10"/>
    <x v="16"/>
    <n v="509"/>
    <n v="1998"/>
    <s v="2.0x1.4"/>
    <n v="0.91"/>
    <n v="1257"/>
    <n v="1381.3186813186812"/>
    <n v="130"/>
    <x v="46"/>
    <n v="0"/>
    <n v="0"/>
    <d v="2007-10-16T00:00:00"/>
    <x v="14"/>
    <n v="3.15"/>
    <n v="11.1"/>
  </r>
  <r>
    <x v="10"/>
    <x v="0"/>
    <x v="2"/>
    <x v="10"/>
    <x v="16"/>
    <n v="509"/>
    <n v="1998"/>
    <s v="2.0x1.4"/>
    <n v="0.91"/>
    <n v="1257"/>
    <n v="1381.3186813186812"/>
    <n v="105"/>
    <x v="299"/>
    <n v="2.4175824175824179"/>
    <n v="3.5003977724741446"/>
    <d v="2010-10-19T00:00:00"/>
    <x v="4"/>
    <n v="3.36"/>
    <n v="6.8"/>
  </r>
  <r>
    <x v="11"/>
    <x v="0"/>
    <x v="2"/>
    <x v="10"/>
    <x v="16"/>
    <n v="509"/>
    <n v="1998"/>
    <s v="2.0x1.4"/>
    <n v="0.91"/>
    <n v="1257"/>
    <n v="1381.3186813186812"/>
    <n v="190"/>
    <x v="300"/>
    <m/>
    <n v="4.7891805887032621"/>
    <d v="2011-11-09T00:00:00"/>
    <x v="9"/>
    <n v="3.4"/>
    <n v="5.7"/>
  </r>
  <r>
    <x v="12"/>
    <x v="0"/>
    <x v="2"/>
    <x v="10"/>
    <x v="16"/>
    <n v="509"/>
    <n v="1998"/>
    <s v="2.0x1.4"/>
    <n v="0.91"/>
    <n v="1257"/>
    <n v="1381.3186813186812"/>
    <m/>
    <x v="301"/>
    <m/>
    <n v="3.4367541766109784"/>
    <d v="2012-10-28T00:00:00"/>
    <x v="2"/>
    <n v="3.58"/>
    <n v="4.42"/>
  </r>
  <r>
    <x v="13"/>
    <x v="1"/>
    <x v="1"/>
    <x v="1"/>
    <x v="1"/>
    <m/>
    <m/>
    <m/>
    <m/>
    <m/>
    <m/>
    <m/>
    <x v="13"/>
    <m/>
    <m/>
    <m/>
    <x v="10"/>
    <m/>
    <m/>
  </r>
  <r>
    <x v="5"/>
    <x v="0"/>
    <x v="7"/>
    <x v="12"/>
    <x v="16"/>
    <n v="181"/>
    <n v="2003"/>
    <s v="2.1x1.1"/>
    <n v="4.4000000000000004"/>
    <n v="8263"/>
    <n v="1877"/>
    <n v="196"/>
    <x v="302"/>
    <n v="2.1363636363636362"/>
    <n v="2.2752027108798258"/>
    <d v="2005-10-03T00:00:00"/>
    <x v="3"/>
    <n v="3.7"/>
    <n v="6.1"/>
  </r>
  <r>
    <x v="6"/>
    <x v="0"/>
    <x v="7"/>
    <x v="12"/>
    <x v="16"/>
    <n v="181"/>
    <n v="2003"/>
    <s v="2.1x1.1"/>
    <n v="4.4000000000000004"/>
    <n v="8263"/>
    <n v="1877"/>
    <n v="147"/>
    <x v="303"/>
    <n v="4.8181818181818175"/>
    <n v="5.1313082415587559"/>
    <d v="2006-10-20T00:00:00"/>
    <x v="26"/>
    <n v="3.69"/>
    <n v="4.5"/>
  </r>
  <r>
    <x v="7"/>
    <x v="0"/>
    <x v="7"/>
    <x v="12"/>
    <x v="16"/>
    <n v="181"/>
    <n v="2003"/>
    <s v="2.1x1.1"/>
    <n v="4.4000000000000004"/>
    <n v="8263"/>
    <n v="1877"/>
    <n v="175"/>
    <x v="304"/>
    <n v="4.2727272727272725"/>
    <n v="4.5504054217596517"/>
    <d v="2007-10-27T00:00:00"/>
    <x v="3"/>
    <n v="3.72"/>
    <n v="4.9000000000000004"/>
  </r>
  <r>
    <x v="8"/>
    <x v="0"/>
    <x v="7"/>
    <x v="12"/>
    <x v="16"/>
    <n v="181"/>
    <n v="2003"/>
    <s v="2.1x1.1"/>
    <n v="4.4000000000000004"/>
    <n v="8263"/>
    <n v="1877"/>
    <n v="163"/>
    <x v="305"/>
    <n v="3.5681818181818179"/>
    <n v="3.8000726128524751"/>
    <d v="2008-10-27T00:00:00"/>
    <x v="82"/>
    <n v="3.91"/>
    <n v="5.4"/>
  </r>
  <r>
    <x v="9"/>
    <x v="0"/>
    <x v="7"/>
    <x v="12"/>
    <x v="16"/>
    <n v="181"/>
    <n v="2003"/>
    <s v="2.1x1.1"/>
    <n v="4.4000000000000004"/>
    <n v="8263"/>
    <n v="1877"/>
    <m/>
    <x v="55"/>
    <n v="3.25"/>
    <n v="3.4612126346363308"/>
    <d v="2009-10-21T00:00:00"/>
    <x v="85"/>
    <n v="4.0999999999999996"/>
    <n v="4.2"/>
  </r>
  <r>
    <x v="10"/>
    <x v="0"/>
    <x v="7"/>
    <x v="12"/>
    <x v="16"/>
    <n v="181"/>
    <n v="2003"/>
    <s v="2.1x1.1"/>
    <n v="4.4000000000000004"/>
    <n v="8263"/>
    <n v="1877"/>
    <n v="107"/>
    <x v="306"/>
    <n v="3.4545454545454541"/>
    <n v="3.679051192060995"/>
    <d v="2010-10-20T00:00:00"/>
    <x v="0"/>
    <n v="3.4"/>
    <n v="6.9"/>
  </r>
  <r>
    <x v="11"/>
    <x v="0"/>
    <x v="7"/>
    <x v="12"/>
    <x v="16"/>
    <n v="181"/>
    <n v="2003"/>
    <s v="2.1x1.1"/>
    <n v="4.4000000000000004"/>
    <n v="8263"/>
    <n v="1877"/>
    <n v="160"/>
    <x v="112"/>
    <n v="4.4772727272727266"/>
    <n v="4.7682439791843159"/>
    <d v="2011-11-08T00:00:00"/>
    <x v="23"/>
    <n v="3.52"/>
    <n v="5.0999999999999996"/>
  </r>
  <r>
    <x v="12"/>
    <x v="0"/>
    <x v="7"/>
    <x v="12"/>
    <x v="16"/>
    <n v="181"/>
    <n v="2003"/>
    <s v="2.1x1.1"/>
    <n v="4.4000000000000004"/>
    <n v="8263"/>
    <n v="1877"/>
    <n v="155"/>
    <x v="307"/>
    <n v="4.377272727272727"/>
    <n v="4.6617451288878131"/>
    <d v="2012-10-28T00:00:00"/>
    <x v="6"/>
    <n v="3.63"/>
    <n v="4.87"/>
  </r>
  <r>
    <x v="13"/>
    <x v="1"/>
    <x v="1"/>
    <x v="1"/>
    <x v="1"/>
    <m/>
    <m/>
    <m/>
    <m/>
    <m/>
    <m/>
    <m/>
    <x v="13"/>
    <m/>
    <m/>
    <m/>
    <x v="10"/>
    <m/>
    <m/>
  </r>
  <r>
    <x v="6"/>
    <x v="0"/>
    <x v="3"/>
    <x v="4"/>
    <x v="17"/>
    <n v="777"/>
    <n v="2005"/>
    <s v="2.1x1.2"/>
    <n v="1.79"/>
    <n v="2895"/>
    <n v="1617"/>
    <n v="150"/>
    <x v="91"/>
    <n v="2.7374301675977657"/>
    <n v="3.3851468048359239"/>
    <d v="2004-09-29T00:00:00"/>
    <x v="14"/>
    <n v="3.44"/>
    <n v="8.3000000000000007"/>
  </r>
  <r>
    <x v="7"/>
    <x v="0"/>
    <x v="3"/>
    <x v="4"/>
    <x v="17"/>
    <n v="777"/>
    <n v="2005"/>
    <s v="2.1x1.2"/>
    <n v="1.79"/>
    <n v="2895"/>
    <n v="1617"/>
    <n v="112"/>
    <x v="308"/>
    <n v="1.3407821229050279"/>
    <n v="1.6580310880829014"/>
    <d v="2007-09-28T00:00:00"/>
    <x v="5"/>
    <n v="3.43"/>
    <n v="5.9"/>
  </r>
  <r>
    <x v="8"/>
    <x v="0"/>
    <x v="3"/>
    <x v="4"/>
    <x v="17"/>
    <n v="777"/>
    <n v="2005"/>
    <s v="2.1x1.2"/>
    <n v="1.79"/>
    <n v="2895"/>
    <n v="1617"/>
    <n v="198"/>
    <x v="250"/>
    <n v="4.6927374301675977"/>
    <n v="5.8031088082901556"/>
    <d v="2008-10-02T00:00:00"/>
    <x v="28"/>
    <n v="3.3"/>
    <n v="6.3"/>
  </r>
  <r>
    <x v="9"/>
    <x v="0"/>
    <x v="3"/>
    <x v="4"/>
    <x v="17"/>
    <n v="777"/>
    <n v="2005"/>
    <s v="2.1x1.2"/>
    <n v="1.79"/>
    <n v="2895"/>
    <n v="1617"/>
    <n v="150"/>
    <x v="203"/>
    <n v="2.960893854748603"/>
    <n v="3.6614853195164074"/>
    <d v="2009-09-25T00:00:00"/>
    <x v="12"/>
    <n v="3.86"/>
    <n v="4.8"/>
  </r>
  <r>
    <x v="10"/>
    <x v="0"/>
    <x v="3"/>
    <x v="4"/>
    <x v="17"/>
    <n v="777"/>
    <n v="2005"/>
    <s v="2.1x1.2"/>
    <n v="1.79"/>
    <n v="2895"/>
    <n v="1617"/>
    <n v="145"/>
    <x v="240"/>
    <n v="3.3519553072625698"/>
    <n v="4.1450777202072535"/>
    <d v="2010-10-06T00:00:00"/>
    <x v="1"/>
    <n v="3.33"/>
    <n v="9.8000000000000007"/>
  </r>
  <r>
    <x v="11"/>
    <x v="0"/>
    <x v="3"/>
    <x v="4"/>
    <x v="17"/>
    <n v="777"/>
    <n v="2005"/>
    <s v="2.1x1.2"/>
    <n v="1.79"/>
    <n v="2895"/>
    <n v="1617"/>
    <n v="238"/>
    <x v="309"/>
    <n v="4.6536312849162007"/>
    <n v="5.7547495682210705"/>
    <d v="2011-10-17T00:00:00"/>
    <x v="6"/>
    <n v="3.36"/>
    <n v="6.2"/>
  </r>
  <r>
    <x v="12"/>
    <x v="0"/>
    <x v="3"/>
    <x v="4"/>
    <x v="17"/>
    <n v="777"/>
    <n v="2005"/>
    <s v="2.1x1.2"/>
    <n v="1.79"/>
    <n v="2895"/>
    <n v="1617"/>
    <n v="140"/>
    <x v="310"/>
    <n v="3.7039106145251397"/>
    <n v="4.5803108808290158"/>
    <d v="2012-10-04T00:00:00"/>
    <x v="4"/>
    <n v="3.38"/>
    <n v="6.5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3"/>
    <x v="5"/>
    <x v="17"/>
    <n v="667"/>
    <n v="1996"/>
    <s v="6.6 x 3.3"/>
    <n v="2.4700000000000002"/>
    <n v="5000"/>
    <n v="2024.2914979757084"/>
    <n v="160"/>
    <x v="311"/>
    <n v="3.2010121457489875"/>
    <n v="3.1625999999999999"/>
    <d v="2000-10-20T00:00:00"/>
    <x v="6"/>
    <n v="3.16"/>
    <n v="11.5"/>
  </r>
  <r>
    <x v="1"/>
    <x v="0"/>
    <x v="3"/>
    <x v="5"/>
    <x v="17"/>
    <n v="667"/>
    <n v="1996"/>
    <s v="6.6 x 3.3"/>
    <n v="2.4700000000000002"/>
    <n v="5000"/>
    <n v="2024.2914979757084"/>
    <n v="112"/>
    <x v="312"/>
    <n v="4.4817813765182182"/>
    <n v="4.4279999999999999"/>
    <d v="2001-10-29T00:00:00"/>
    <x v="2"/>
    <n v="3.18"/>
    <n v="12.2"/>
  </r>
  <r>
    <x v="2"/>
    <x v="0"/>
    <x v="3"/>
    <x v="5"/>
    <x v="17"/>
    <n v="667"/>
    <n v="1996"/>
    <s v="6.6 x 3.3"/>
    <n v="2.4700000000000002"/>
    <n v="5000"/>
    <n v="2024.2914979757084"/>
    <n v="188"/>
    <x v="313"/>
    <n v="4.3400809716599191"/>
    <n v="4.2880000000000003"/>
    <d v="2003-10-10T00:00:00"/>
    <x v="22"/>
    <n v="3.56"/>
    <n v="7.4"/>
  </r>
  <r>
    <x v="3"/>
    <x v="0"/>
    <x v="3"/>
    <x v="5"/>
    <x v="17"/>
    <n v="667"/>
    <n v="1996"/>
    <s v="6.6 x 3.3"/>
    <n v="2.4700000000000002"/>
    <n v="5000"/>
    <n v="2024.2914979757084"/>
    <n v="175"/>
    <x v="314"/>
    <n v="4.2995951417004044"/>
    <n v="4.2480000000000002"/>
    <d v="2003-10-01T00:00:00"/>
    <x v="26"/>
    <n v="3.45"/>
    <n v="4.8"/>
  </r>
  <r>
    <x v="4"/>
    <x v="0"/>
    <x v="3"/>
    <x v="5"/>
    <x v="17"/>
    <n v="667"/>
    <n v="1996"/>
    <s v="6.6 x 3.3"/>
    <n v="2.4700000000000002"/>
    <n v="5000"/>
    <n v="2024.2914979757084"/>
    <n v="215"/>
    <x v="43"/>
    <n v="4.4129554655870447"/>
    <n v="4.3600000000000003"/>
    <d v="2004-09-30T00:00:00"/>
    <x v="26"/>
    <n v="3.5"/>
    <n v="6.7"/>
  </r>
  <r>
    <x v="5"/>
    <x v="0"/>
    <x v="3"/>
    <x v="5"/>
    <x v="17"/>
    <n v="667"/>
    <n v="1996"/>
    <s v="6.6 x 3.3"/>
    <n v="2.4700000000000002"/>
    <n v="5000"/>
    <n v="2024.2914979757084"/>
    <n v="147"/>
    <x v="139"/>
    <n v="3.3603238866396761"/>
    <n v="3.32"/>
    <d v="2004-09-30T00:00:00"/>
    <x v="94"/>
    <n v="3.25"/>
    <n v="8.6999999999999993"/>
  </r>
  <r>
    <x v="6"/>
    <x v="0"/>
    <x v="3"/>
    <x v="5"/>
    <x v="17"/>
    <n v="667"/>
    <n v="1996"/>
    <s v="6.6 x 3.3"/>
    <n v="2.4700000000000002"/>
    <n v="5000"/>
    <n v="2024.2914979757084"/>
    <n v="176"/>
    <x v="81"/>
    <n v="5.6275303643724692"/>
    <n v="5.56"/>
    <d v="2006-10-04T00:00:00"/>
    <x v="4"/>
    <n v="3.6"/>
    <n v="5.5"/>
  </r>
  <r>
    <x v="7"/>
    <x v="0"/>
    <x v="3"/>
    <x v="5"/>
    <x v="17"/>
    <n v="667"/>
    <n v="1996"/>
    <s v="6.6 x 3.3"/>
    <n v="2.4700000000000002"/>
    <n v="5000"/>
    <n v="2024.2914979757084"/>
    <n v="150"/>
    <x v="58"/>
    <n v="5.3846153846153841"/>
    <n v="5.32"/>
    <d v="2007-10-04T00:00:00"/>
    <x v="28"/>
    <n v="3.25"/>
    <n v="8.5"/>
  </r>
  <r>
    <x v="8"/>
    <x v="0"/>
    <x v="3"/>
    <x v="5"/>
    <x v="17"/>
    <n v="667"/>
    <n v="1996"/>
    <s v="6.6 x 3.3"/>
    <n v="2.4700000000000002"/>
    <n v="5000"/>
    <n v="2024.2914979757084"/>
    <n v="194"/>
    <x v="315"/>
    <n v="5.2631578947368416"/>
    <n v="5.2"/>
    <d v="2008-10-07T00:00:00"/>
    <x v="5"/>
    <n v="3.52"/>
    <n v="6.5"/>
  </r>
  <r>
    <x v="9"/>
    <x v="0"/>
    <x v="3"/>
    <x v="5"/>
    <x v="17"/>
    <n v="667"/>
    <n v="1996"/>
    <s v="6.6 x 3.3"/>
    <n v="2.4700000000000002"/>
    <n v="5000"/>
    <n v="2024.2914979757084"/>
    <m/>
    <x v="13"/>
    <n v="0"/>
    <n v="0"/>
    <m/>
    <x v="10"/>
    <m/>
    <m/>
  </r>
  <r>
    <x v="10"/>
    <x v="0"/>
    <x v="3"/>
    <x v="5"/>
    <x v="17"/>
    <n v="667"/>
    <n v="1996"/>
    <s v="6.6 x 3.3"/>
    <n v="2.4700000000000002"/>
    <n v="5000"/>
    <n v="2024.2914979757084"/>
    <n v="155"/>
    <x v="181"/>
    <n v="4.8178137651821862"/>
    <n v="4.76"/>
    <d v="2010-10-12T00:00:00"/>
    <x v="22"/>
    <n v="3.37"/>
    <n v="9.8000000000000007"/>
  </r>
  <r>
    <x v="11"/>
    <x v="0"/>
    <x v="3"/>
    <x v="5"/>
    <x v="17"/>
    <n v="667"/>
    <n v="1996"/>
    <s v="6.6 x 3.3"/>
    <n v="2.4700000000000002"/>
    <n v="5000"/>
    <n v="2024.2914979757084"/>
    <n v="230"/>
    <x v="316"/>
    <n v="5.0688259109311735"/>
    <n v="5.008"/>
    <d v="2011-10-17T00:00:00"/>
    <x v="21"/>
    <n v="3.56"/>
    <n v="7.5"/>
  </r>
  <r>
    <x v="12"/>
    <x v="0"/>
    <x v="3"/>
    <x v="5"/>
    <x v="17"/>
    <n v="667"/>
    <n v="1996"/>
    <s v="6.6 x 3.3"/>
    <n v="2.4700000000000002"/>
    <n v="5000"/>
    <n v="2024.2914979757084"/>
    <n v="140"/>
    <x v="54"/>
    <n v="3.4412955465587043"/>
    <n v="3.4"/>
    <d v="2012-10-04T00:00:00"/>
    <x v="2"/>
    <n v="3.52"/>
    <n v="5.44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3"/>
    <x v="3"/>
    <x v="17"/>
    <s v="91R"/>
    <n v="1990"/>
    <s v="8x4.5"/>
    <n v="0.91"/>
    <n v="1013"/>
    <n v="1113.1868131868132"/>
    <n v="209"/>
    <x v="317"/>
    <n v="4.7126373626373628"/>
    <n v="8.4669299111549847"/>
    <d v="2002-10-20T00:00:00"/>
    <x v="31"/>
    <n v="3.17"/>
    <n v="9.3000000000000007"/>
  </r>
  <r>
    <x v="1"/>
    <x v="0"/>
    <x v="3"/>
    <x v="3"/>
    <x v="17"/>
    <s v="91R"/>
    <n v="1990"/>
    <s v="8x4.5"/>
    <n v="0.91"/>
    <n v="1013"/>
    <n v="1113.1868131868132"/>
    <n v="160"/>
    <x v="318"/>
    <n v="3.6928571428571426"/>
    <n v="6.6347482724580455"/>
    <d v="2001-10-26T00:00:00"/>
    <x v="12"/>
    <n v="3.01"/>
    <n v="10.1"/>
  </r>
  <r>
    <x v="2"/>
    <x v="0"/>
    <x v="3"/>
    <x v="3"/>
    <x v="17"/>
    <s v="91R"/>
    <n v="1990"/>
    <s v="8x4.5"/>
    <n v="0.91"/>
    <n v="1013"/>
    <n v="1113.1868131868132"/>
    <n v="220"/>
    <x v="319"/>
    <n v="3.1318681318681318"/>
    <n v="5.6268509378084897"/>
    <d v="2003-10-08T00:00:00"/>
    <x v="86"/>
    <n v="3.51"/>
    <n v="6.8"/>
  </r>
  <r>
    <x v="3"/>
    <x v="0"/>
    <x v="3"/>
    <x v="3"/>
    <x v="17"/>
    <s v="91R"/>
    <n v="1990"/>
    <s v="8x4.5"/>
    <n v="0.91"/>
    <n v="1013"/>
    <n v="1113.1868131868132"/>
    <n v="193"/>
    <x v="160"/>
    <n v="4.5054945054945046"/>
    <n v="8.0947680157946689"/>
    <d v="2003-10-07T00:00:00"/>
    <x v="7"/>
    <n v="3.33"/>
    <n v="6"/>
  </r>
  <r>
    <x v="4"/>
    <x v="0"/>
    <x v="3"/>
    <x v="3"/>
    <x v="17"/>
    <s v="91R"/>
    <n v="1990"/>
    <s v="8x4.5"/>
    <n v="0.91"/>
    <n v="1013"/>
    <n v="1113.1868131868132"/>
    <n v="133"/>
    <x v="242"/>
    <n v="4.8351648351648358"/>
    <n v="8.6870681145113533"/>
    <d v="2004-10-05T00:00:00"/>
    <x v="3"/>
    <n v="3.41"/>
    <n v="6.9"/>
  </r>
  <r>
    <x v="5"/>
    <x v="0"/>
    <x v="3"/>
    <x v="3"/>
    <x v="17"/>
    <s v="91R"/>
    <n v="1990"/>
    <s v="8x4.5"/>
    <n v="0.91"/>
    <n v="1013"/>
    <n v="1113.1868131868132"/>
    <n v="139"/>
    <x v="320"/>
    <n v="2.8571428571428572"/>
    <n v="5.1332675222112538"/>
    <d v="2005-09-29T00:00:00"/>
    <x v="5"/>
    <n v="3.24"/>
    <n v="8.6999999999999993"/>
  </r>
  <r>
    <x v="6"/>
    <x v="0"/>
    <x v="3"/>
    <x v="3"/>
    <x v="17"/>
    <s v="91R"/>
    <n v="1990"/>
    <s v="8x4.5"/>
    <n v="0.91"/>
    <n v="1013"/>
    <n v="1113.1868131868132"/>
    <n v="220"/>
    <x v="33"/>
    <n v="6.813186813186813"/>
    <n v="12.240868706811451"/>
    <d v="2006-10-05T00:00:00"/>
    <x v="28"/>
    <n v="3.3"/>
    <n v="6.9"/>
  </r>
  <r>
    <x v="7"/>
    <x v="0"/>
    <x v="3"/>
    <x v="3"/>
    <x v="17"/>
    <s v="91R"/>
    <n v="1990"/>
    <s v="8x4.5"/>
    <n v="0.91"/>
    <n v="1013"/>
    <n v="1113.1868131868132"/>
    <n v="225"/>
    <x v="7"/>
    <n v="6.1538461538461533"/>
    <n v="11.056268509378086"/>
    <d v="2007-10-09T00:00:00"/>
    <x v="4"/>
    <n v="3.41"/>
    <n v="7.2"/>
  </r>
  <r>
    <x v="8"/>
    <x v="0"/>
    <x v="3"/>
    <x v="3"/>
    <x v="17"/>
    <s v="91R"/>
    <n v="1990"/>
    <s v="8x4.5"/>
    <n v="0.91"/>
    <n v="1013"/>
    <n v="1113.1868131868132"/>
    <n v="178"/>
    <x v="242"/>
    <n v="4.8351648351648358"/>
    <n v="8.6870681145113533"/>
    <d v="2008-10-07T00:00:00"/>
    <x v="21"/>
    <n v="3.44"/>
    <n v="7.1"/>
  </r>
  <r>
    <x v="9"/>
    <x v="0"/>
    <x v="3"/>
    <x v="3"/>
    <x v="17"/>
    <s v="91R"/>
    <n v="1990"/>
    <s v="8x4.5"/>
    <n v="0.91"/>
    <n v="1013"/>
    <n v="1113.1868131868132"/>
    <n v="185"/>
    <x v="183"/>
    <n v="4.2857142857142856"/>
    <n v="7.6999012833168807"/>
    <d v="2009-10-01T00:00:00"/>
    <x v="82"/>
    <n v="3.98"/>
    <n v="6.62"/>
  </r>
  <r>
    <x v="10"/>
    <x v="0"/>
    <x v="3"/>
    <x v="3"/>
    <x v="17"/>
    <s v="91R"/>
    <n v="1990"/>
    <s v="8x4.5"/>
    <n v="0.91"/>
    <n v="1013"/>
    <n v="1113.1868131868132"/>
    <n v="140"/>
    <x v="321"/>
    <n v="2.5274725274725274"/>
    <n v="4.5409674234945703"/>
    <d v="2010-10-08T00:00:00"/>
    <x v="23"/>
    <n v="3.09"/>
    <n v="10.9"/>
  </r>
  <r>
    <x v="11"/>
    <x v="0"/>
    <x v="3"/>
    <x v="3"/>
    <x v="17"/>
    <s v="91R"/>
    <n v="1990"/>
    <s v="8x4.5"/>
    <n v="0.91"/>
    <n v="1013"/>
    <n v="1113.1868131868132"/>
    <n v="245"/>
    <x v="322"/>
    <n v="4.0549450549450547"/>
    <n v="7.285291214215202"/>
    <d v="2011-10-06T00:00:00"/>
    <x v="27"/>
    <n v="3.38"/>
    <n v="7.1"/>
  </r>
  <r>
    <x v="12"/>
    <x v="0"/>
    <x v="3"/>
    <x v="3"/>
    <x v="17"/>
    <s v="91R"/>
    <n v="1990"/>
    <s v="8x4.5"/>
    <n v="0.91"/>
    <n v="1013"/>
    <n v="1113.1868131868132"/>
    <n v="185"/>
    <x v="323"/>
    <n v="3.4615384615384612"/>
    <n v="6.2191510365251723"/>
    <d v="2012-10-05T00:00:00"/>
    <x v="9"/>
    <n v="3.45"/>
    <n v="5.85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3"/>
    <x v="8"/>
    <x v="17"/>
    <s v="UCD2"/>
    <n v="1987"/>
    <s v="8x4.5"/>
    <n v="0.5"/>
    <n v="600"/>
    <n v="1200"/>
    <m/>
    <x v="324"/>
    <n v="2.98"/>
    <n v="4.9666666666666668"/>
    <d v="2002-11-03T00:00:00"/>
    <x v="19"/>
    <n v="3.02"/>
    <n v="9.6"/>
  </r>
  <r>
    <x v="1"/>
    <x v="0"/>
    <x v="3"/>
    <x v="8"/>
    <x v="17"/>
    <s v="UCD2"/>
    <n v="1987"/>
    <s v="8x4.5"/>
    <n v="0.5"/>
    <n v="600"/>
    <n v="1200"/>
    <n v="180"/>
    <x v="325"/>
    <n v="3.6"/>
    <n v="6"/>
    <d v="2001-10-29T00:00:00"/>
    <x v="12"/>
    <n v="3.1"/>
    <n v="11.4"/>
  </r>
  <r>
    <x v="2"/>
    <x v="0"/>
    <x v="3"/>
    <x v="8"/>
    <x v="17"/>
    <s v="UCD2"/>
    <n v="1987"/>
    <s v="8x4.5"/>
    <n v="0.5"/>
    <n v="600"/>
    <n v="1200"/>
    <n v="180"/>
    <x v="326"/>
    <n v="2.38"/>
    <n v="3.9666666666666668"/>
    <d v="2003-10-08T00:00:00"/>
    <x v="23"/>
    <n v="3.42"/>
    <n v="7.7"/>
  </r>
  <r>
    <x v="3"/>
    <x v="0"/>
    <x v="3"/>
    <x v="8"/>
    <x v="17"/>
    <s v="UCD2"/>
    <n v="1987"/>
    <s v="8x4.5"/>
    <n v="0.5"/>
    <n v="600"/>
    <n v="1200"/>
    <n v="190"/>
    <x v="263"/>
    <n v="4.2"/>
    <n v="7"/>
    <d v="2003-10-07T00:00:00"/>
    <x v="7"/>
    <n v="3.33"/>
    <n v="6"/>
  </r>
  <r>
    <x v="4"/>
    <x v="0"/>
    <x v="3"/>
    <x v="8"/>
    <x v="17"/>
    <s v="UCD2"/>
    <n v="1987"/>
    <s v="8x4.5"/>
    <n v="0.5"/>
    <n v="600"/>
    <n v="1200"/>
    <n v="170"/>
    <x v="299"/>
    <n v="4.4000000000000004"/>
    <n v="7.333333333333333"/>
    <d v="2004-10-07T00:00:00"/>
    <x v="79"/>
    <n v="3.53"/>
    <n v="6.9"/>
  </r>
  <r>
    <x v="5"/>
    <x v="0"/>
    <x v="3"/>
    <x v="8"/>
    <x v="17"/>
    <s v="UCD2"/>
    <n v="1987"/>
    <s v="8x4.5"/>
    <n v="0.5"/>
    <n v="600"/>
    <n v="1200"/>
    <n v="132"/>
    <x v="5"/>
    <n v="4"/>
    <n v="6.666666666666667"/>
    <d v="2005-10-13T00:00:00"/>
    <x v="23"/>
    <n v="3.4"/>
    <n v="6.4"/>
  </r>
  <r>
    <x v="6"/>
    <x v="0"/>
    <x v="3"/>
    <x v="8"/>
    <x v="17"/>
    <s v="UCD2"/>
    <n v="1987"/>
    <s v="8x4.5"/>
    <n v="0.5"/>
    <n v="600"/>
    <n v="1200"/>
    <n v="190"/>
    <x v="327"/>
    <n v="6"/>
    <n v="10"/>
    <d v="2006-10-05T00:00:00"/>
    <x v="6"/>
    <n v="3.44"/>
    <n v="7.5"/>
  </r>
  <r>
    <x v="7"/>
    <x v="0"/>
    <x v="3"/>
    <x v="8"/>
    <x v="17"/>
    <s v="UCD2"/>
    <n v="1987"/>
    <s v="8x4.5"/>
    <n v="0.5"/>
    <n v="600"/>
    <n v="1200"/>
    <n v="197"/>
    <x v="274"/>
    <n v="5.4"/>
    <n v="9"/>
    <d v="2007-10-09T00:00:00"/>
    <x v="4"/>
    <n v="3.41"/>
    <n v="7.2"/>
  </r>
  <r>
    <x v="8"/>
    <x v="0"/>
    <x v="3"/>
    <x v="8"/>
    <x v="17"/>
    <s v="UCD2"/>
    <n v="1987"/>
    <s v="8x4.5"/>
    <n v="0.5"/>
    <n v="600"/>
    <n v="1200"/>
    <n v="225"/>
    <x v="321"/>
    <n v="4.5999999999999996"/>
    <n v="7.666666666666667"/>
    <d v="2008-10-07T00:00:00"/>
    <x v="21"/>
    <n v="3.44"/>
    <n v="7.1"/>
  </r>
  <r>
    <x v="9"/>
    <x v="0"/>
    <x v="3"/>
    <x v="8"/>
    <x v="17"/>
    <s v="UCD2"/>
    <n v="1987"/>
    <s v="8x4.5"/>
    <n v="0.5"/>
    <n v="600"/>
    <n v="1200"/>
    <n v="173"/>
    <x v="187"/>
    <n v="3.8"/>
    <n v="6.333333333333333"/>
    <d v="2009-10-01T00:00:00"/>
    <x v="85"/>
    <n v="3.96"/>
    <n v="8.4"/>
  </r>
  <r>
    <x v="10"/>
    <x v="0"/>
    <x v="3"/>
    <x v="8"/>
    <x v="17"/>
    <s v="UCD2"/>
    <n v="1987"/>
    <s v="8x4.5"/>
    <n v="0.5"/>
    <n v="600"/>
    <n v="1200"/>
    <n v="145"/>
    <x v="328"/>
    <n v="2.6"/>
    <n v="4.333333333333333"/>
    <d v="2010-10-08T00:00:00"/>
    <x v="23"/>
    <n v="3.09"/>
    <n v="10.9"/>
  </r>
  <r>
    <x v="11"/>
    <x v="0"/>
    <x v="3"/>
    <x v="8"/>
    <x v="17"/>
    <s v="UCD2"/>
    <n v="1987"/>
    <s v="8x4.5"/>
    <n v="0.5"/>
    <n v="600"/>
    <n v="1200"/>
    <n v="200"/>
    <x v="329"/>
    <n v="2.84"/>
    <n v="4.7333333333333334"/>
    <d v="2011-10-13T00:00:00"/>
    <x v="27"/>
    <n v="3.44"/>
    <n v="7.2"/>
  </r>
  <r>
    <x v="12"/>
    <x v="0"/>
    <x v="3"/>
    <x v="8"/>
    <x v="17"/>
    <s v="UCD2"/>
    <n v="1987"/>
    <s v="8x4.5"/>
    <n v="0.5"/>
    <n v="600"/>
    <n v="1200"/>
    <n v="145"/>
    <x v="330"/>
    <n v="3.08"/>
    <n v="5.1333333333333337"/>
    <d v="2012-10-05T00:00:00"/>
    <x v="26"/>
    <n v="3.47"/>
    <n v="5.7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3"/>
    <x v="7"/>
    <x v="17"/>
    <s v="93R"/>
    <n v="1987"/>
    <s v="8x4.5"/>
    <n v="0.96"/>
    <n v="1160"/>
    <n v="1208.3333333333335"/>
    <m/>
    <x v="331"/>
    <n v="4.2"/>
    <n v="6.9517241379310342"/>
    <d v="2001-11-03T00:00:00"/>
    <x v="10"/>
    <m/>
    <m/>
  </r>
  <r>
    <x v="1"/>
    <x v="0"/>
    <x v="3"/>
    <x v="7"/>
    <x v="17"/>
    <s v="93R"/>
    <n v="1987"/>
    <s v="8x4.5"/>
    <n v="0.96"/>
    <n v="1160"/>
    <n v="1208.3333333333335"/>
    <n v="178"/>
    <x v="227"/>
    <n v="3.9109375000000002"/>
    <n v="6.4732758620689657"/>
    <d v="2001-10-26T00:00:00"/>
    <x v="6"/>
    <n v="3"/>
    <n v="11"/>
  </r>
  <r>
    <x v="2"/>
    <x v="0"/>
    <x v="3"/>
    <x v="7"/>
    <x v="17"/>
    <s v="93R"/>
    <n v="1987"/>
    <s v="8x4.5"/>
    <n v="0.96"/>
    <n v="1160"/>
    <n v="1208.3333333333335"/>
    <n v="163"/>
    <x v="332"/>
    <n v="2.2083333333333335"/>
    <n v="3.6551724137931036"/>
    <d v="2003-10-08T00:00:00"/>
    <x v="86"/>
    <n v="3.51"/>
    <n v="6.8"/>
  </r>
  <r>
    <x v="3"/>
    <x v="0"/>
    <x v="3"/>
    <x v="7"/>
    <x v="17"/>
    <s v="93R"/>
    <n v="1987"/>
    <s v="8x4.5"/>
    <n v="0.96"/>
    <n v="1160"/>
    <n v="1208.3333333333335"/>
    <n v="180"/>
    <x v="197"/>
    <n v="3.7500000000000004"/>
    <n v="6.2068965517241379"/>
    <d v="2003-10-07T00:00:00"/>
    <x v="7"/>
    <n v="3.33"/>
    <n v="6"/>
  </r>
  <r>
    <x v="4"/>
    <x v="0"/>
    <x v="3"/>
    <x v="7"/>
    <x v="17"/>
    <s v="93R"/>
    <n v="1987"/>
    <s v="8x4.5"/>
    <n v="0.96"/>
    <n v="1160"/>
    <n v="1208.3333333333335"/>
    <n v="133"/>
    <x v="249"/>
    <n v="3.4375"/>
    <n v="5.6896551724137927"/>
    <d v="2004-10-05T00:00:00"/>
    <x v="3"/>
    <n v="3.41"/>
    <n v="6.9"/>
  </r>
  <r>
    <x v="5"/>
    <x v="0"/>
    <x v="3"/>
    <x v="7"/>
    <x v="17"/>
    <s v="93R"/>
    <n v="1987"/>
    <s v="8x4.5"/>
    <n v="0.96"/>
    <n v="1160"/>
    <n v="1208.3333333333335"/>
    <n v="170"/>
    <x v="249"/>
    <n v="3.4375"/>
    <n v="5.6896551724137927"/>
    <d v="2005-09-29T00:00:00"/>
    <x v="5"/>
    <n v="3.24"/>
    <n v="8.6999999999999993"/>
  </r>
  <r>
    <x v="6"/>
    <x v="0"/>
    <x v="3"/>
    <x v="7"/>
    <x v="17"/>
    <s v="93R"/>
    <n v="1987"/>
    <s v="8x4.5"/>
    <n v="0.96"/>
    <n v="1160"/>
    <n v="1208.3333333333335"/>
    <n v="204"/>
    <x v="31"/>
    <n v="5.416666666666667"/>
    <n v="8.9655172413793096"/>
    <d v="2006-10-05T00:00:00"/>
    <x v="4"/>
    <n v="3.42"/>
    <n v="7.5"/>
  </r>
  <r>
    <x v="7"/>
    <x v="0"/>
    <x v="3"/>
    <x v="7"/>
    <x v="17"/>
    <s v="93R"/>
    <n v="1987"/>
    <s v="8x4.5"/>
    <n v="0.96"/>
    <n v="1160"/>
    <n v="1208.3333333333335"/>
    <n v="205"/>
    <x v="232"/>
    <n v="5.9375"/>
    <n v="9.8275862068965516"/>
    <d v="2007-10-09T00:00:00"/>
    <x v="4"/>
    <n v="3.41"/>
    <n v="7.2"/>
  </r>
  <r>
    <x v="8"/>
    <x v="0"/>
    <x v="3"/>
    <x v="7"/>
    <x v="17"/>
    <s v="93R"/>
    <n v="1987"/>
    <s v="8x4.5"/>
    <n v="0.96"/>
    <n v="1160"/>
    <n v="1208.3333333333335"/>
    <n v="220"/>
    <x v="183"/>
    <n v="4.0625"/>
    <n v="6.7241379310344831"/>
    <d v="2008-10-07T00:00:00"/>
    <x v="21"/>
    <n v="3.44"/>
    <n v="7.1"/>
  </r>
  <r>
    <x v="9"/>
    <x v="0"/>
    <x v="3"/>
    <x v="7"/>
    <x v="17"/>
    <s v="93R"/>
    <n v="1987"/>
    <s v="8x4.5"/>
    <n v="0.96"/>
    <n v="1160"/>
    <n v="1208.3333333333335"/>
    <n v="170"/>
    <x v="248"/>
    <n v="2.9166666666666665"/>
    <n v="4.8275862068965516"/>
    <d v="2009-10-01T00:00:00"/>
    <x v="82"/>
    <n v="3.98"/>
    <n v="6.62"/>
  </r>
  <r>
    <x v="10"/>
    <x v="0"/>
    <x v="3"/>
    <x v="7"/>
    <x v="17"/>
    <s v="93R"/>
    <n v="1987"/>
    <s v="8x4.5"/>
    <n v="0.96"/>
    <n v="1160"/>
    <n v="1208.3333333333335"/>
    <n v="140"/>
    <x v="320"/>
    <n v="2.7083333333333335"/>
    <n v="4.4827586206896548"/>
    <d v="2010-10-07T00:00:00"/>
    <x v="63"/>
    <n v="3.39"/>
    <n v="10.6"/>
  </r>
  <r>
    <x v="11"/>
    <x v="0"/>
    <x v="3"/>
    <x v="7"/>
    <x v="17"/>
    <s v="93R"/>
    <n v="1987"/>
    <s v="8x4.5"/>
    <n v="0.96"/>
    <n v="1160"/>
    <n v="1208.3333333333335"/>
    <n v="205"/>
    <x v="333"/>
    <n v="2.166666666666667"/>
    <n v="3.5862068965517242"/>
    <d v="2011-10-13T00:00:00"/>
    <x v="6"/>
    <n v="3.54"/>
    <n v="6.2"/>
  </r>
  <r>
    <x v="12"/>
    <x v="0"/>
    <x v="3"/>
    <x v="7"/>
    <x v="17"/>
    <s v="93R"/>
    <n v="1987"/>
    <s v="8x4.5"/>
    <n v="0.96"/>
    <n v="1160"/>
    <n v="1208.3333333333335"/>
    <n v="165"/>
    <x v="334"/>
    <n v="2.5208333333333335"/>
    <n v="4.1724137931034484"/>
    <d v="2012-10-05T00:00:00"/>
    <x v="26"/>
    <n v="3.47"/>
    <n v="5.7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3"/>
    <x v="11"/>
    <x v="17"/>
    <s v="UCD1"/>
    <n v="1975"/>
    <s v="8x4.5"/>
    <n v="0.54"/>
    <n v="219"/>
    <n v="405.55555555555554"/>
    <m/>
    <x v="335"/>
    <n v="3.8694444444444445"/>
    <n v="19.082191780821919"/>
    <d v="2001-11-03T00:00:00"/>
    <x v="10"/>
    <m/>
    <m/>
  </r>
  <r>
    <x v="1"/>
    <x v="0"/>
    <x v="3"/>
    <x v="11"/>
    <x v="17"/>
    <s v="UCD1"/>
    <n v="1975"/>
    <s v="8x4.5"/>
    <n v="0.54"/>
    <n v="219"/>
    <n v="405.55555555555554"/>
    <n v="180"/>
    <x v="336"/>
    <n v="0.97685185185185175"/>
    <n v="4.8173515981735155"/>
    <d v="2001-10-29T00:00:00"/>
    <x v="12"/>
    <n v="3.1"/>
    <n v="11.4"/>
  </r>
  <r>
    <x v="2"/>
    <x v="0"/>
    <x v="3"/>
    <x v="11"/>
    <x v="17"/>
    <s v="UCD1"/>
    <n v="1975"/>
    <s v="8x4.5"/>
    <n v="0.54"/>
    <n v="219"/>
    <n v="405.55555555555554"/>
    <n v="170"/>
    <x v="337"/>
    <n v="0.88888888888888884"/>
    <n v="4.3835616438356162"/>
    <d v="2003-10-08T00:00:00"/>
    <x v="23"/>
    <n v="3.42"/>
    <n v="7.7"/>
  </r>
  <r>
    <x v="3"/>
    <x v="0"/>
    <x v="3"/>
    <x v="11"/>
    <x v="17"/>
    <s v="UCD1"/>
    <n v="1975"/>
    <s v="8x4.5"/>
    <n v="0.54"/>
    <n v="219"/>
    <n v="405.55555555555554"/>
    <n v="180"/>
    <x v="308"/>
    <n v="4.4444444444444438"/>
    <n v="21.917808219178081"/>
    <d v="2003-10-07T00:00:00"/>
    <x v="7"/>
    <n v="3.33"/>
    <n v="6"/>
  </r>
  <r>
    <x v="4"/>
    <x v="0"/>
    <x v="3"/>
    <x v="11"/>
    <x v="17"/>
    <s v="UCD1"/>
    <n v="1975"/>
    <s v="8x4.5"/>
    <n v="0.54"/>
    <n v="219"/>
    <n v="405.55555555555554"/>
    <m/>
    <x v="218"/>
    <n v="2.2222222222222219"/>
    <n v="10.95890410958904"/>
    <d v="2004-10-05T00:00:00"/>
    <x v="3"/>
    <n v="3.41"/>
    <n v="6.9"/>
  </r>
  <r>
    <x v="5"/>
    <x v="0"/>
    <x v="3"/>
    <x v="11"/>
    <x v="17"/>
    <s v="UCD1"/>
    <n v="1975"/>
    <s v="8x4.5"/>
    <n v="0.54"/>
    <n v="219"/>
    <n v="405.55555555555554"/>
    <n v="135"/>
    <x v="210"/>
    <n v="1.8518518518518516"/>
    <n v="9.1324200913242013"/>
    <d v="2005-09-29T00:00:00"/>
    <x v="5"/>
    <n v="3.24"/>
    <n v="8.6999999999999993"/>
  </r>
  <r>
    <x v="6"/>
    <x v="0"/>
    <x v="3"/>
    <x v="11"/>
    <x v="17"/>
    <s v="UCD1"/>
    <n v="1975"/>
    <s v="8x4.5"/>
    <n v="0.54"/>
    <n v="219"/>
    <n v="405.55555555555554"/>
    <n v="180"/>
    <x v="325"/>
    <n v="3.333333333333333"/>
    <n v="16.438356164383563"/>
    <d v="2006-10-05T00:00:00"/>
    <x v="4"/>
    <n v="3.42"/>
    <n v="7.5"/>
  </r>
  <r>
    <x v="7"/>
    <x v="0"/>
    <x v="3"/>
    <x v="11"/>
    <x v="17"/>
    <s v="UCD1"/>
    <n v="1975"/>
    <s v="8x4.5"/>
    <n v="0.54"/>
    <n v="219"/>
    <n v="405.55555555555554"/>
    <n v="195"/>
    <x v="187"/>
    <n v="3.5185185185185182"/>
    <n v="17.351598173515981"/>
    <d v="2007-10-09T00:00:00"/>
    <x v="4"/>
    <n v="3.41"/>
    <n v="7.2"/>
  </r>
  <r>
    <x v="8"/>
    <x v="0"/>
    <x v="3"/>
    <x v="11"/>
    <x v="17"/>
    <s v="UCD1"/>
    <n v="1975"/>
    <s v="8x4.5"/>
    <n v="0.54"/>
    <n v="219"/>
    <n v="405.55555555555554"/>
    <n v="172"/>
    <x v="299"/>
    <n v="4.0740740740740744"/>
    <n v="20.091324200913242"/>
    <d v="2008-10-07T00:00:00"/>
    <x v="21"/>
    <n v="3.44"/>
    <n v="7.1"/>
  </r>
  <r>
    <x v="9"/>
    <x v="0"/>
    <x v="3"/>
    <x v="11"/>
    <x v="17"/>
    <s v="UCD1"/>
    <n v="1975"/>
    <s v="8x4.5"/>
    <n v="0.54"/>
    <n v="219"/>
    <n v="405.55555555555554"/>
    <n v="173"/>
    <x v="219"/>
    <n v="1.6666666666666665"/>
    <n v="8.2191780821917817"/>
    <d v="2009-10-01T00:00:00"/>
    <x v="85"/>
    <n v="3.96"/>
    <n v="8.4"/>
  </r>
  <r>
    <x v="10"/>
    <x v="0"/>
    <x v="3"/>
    <x v="11"/>
    <x v="17"/>
    <s v="UCD1"/>
    <n v="1975"/>
    <s v="8x4.5"/>
    <n v="0.54"/>
    <n v="219"/>
    <n v="405.55555555555554"/>
    <n v="148"/>
    <x v="272"/>
    <n v="5.3703703703703702"/>
    <n v="26.484018264840184"/>
    <d v="2010-10-07T00:00:00"/>
    <x v="63"/>
    <n v="3.39"/>
    <n v="10.6"/>
  </r>
  <r>
    <x v="11"/>
    <x v="0"/>
    <x v="3"/>
    <x v="11"/>
    <x v="17"/>
    <s v="UCD1"/>
    <n v="1975"/>
    <s v="8x4.5"/>
    <n v="0.54"/>
    <n v="219"/>
    <n v="405.55555555555554"/>
    <n v="225"/>
    <x v="153"/>
    <n v="4.8518518518518521"/>
    <n v="23.926940639269407"/>
    <d v="2011-10-13T00:00:00"/>
    <x v="6"/>
    <n v="3.38"/>
    <n v="6.6"/>
  </r>
  <r>
    <x v="12"/>
    <x v="0"/>
    <x v="3"/>
    <x v="11"/>
    <x v="17"/>
    <s v="UCD1"/>
    <n v="1975"/>
    <s v="8x4.5"/>
    <n v="0.54"/>
    <n v="219"/>
    <n v="405.55555555555554"/>
    <n v="160"/>
    <x v="338"/>
    <n v="3.0925925925925921"/>
    <n v="15.251141552511415"/>
    <d v="2012-10-05T00:00:00"/>
    <x v="9"/>
    <n v="3.45"/>
    <n v="5.85"/>
  </r>
  <r>
    <x v="13"/>
    <x v="1"/>
    <x v="1"/>
    <x v="1"/>
    <x v="1"/>
    <m/>
    <m/>
    <m/>
    <m/>
    <m/>
    <m/>
    <m/>
    <x v="13"/>
    <m/>
    <m/>
    <m/>
    <x v="10"/>
    <m/>
    <m/>
  </r>
  <r>
    <x v="1"/>
    <x v="0"/>
    <x v="3"/>
    <x v="10"/>
    <x v="17"/>
    <s v="91R"/>
    <n v="1990"/>
    <s v="8x4.5"/>
    <n v="0.2"/>
    <n v="219"/>
    <n v="1095"/>
    <m/>
    <x v="339"/>
    <n v="5.21"/>
    <n v="9.5159817351598175"/>
    <m/>
    <x v="10"/>
    <m/>
    <m/>
  </r>
  <r>
    <x v="2"/>
    <x v="0"/>
    <x v="3"/>
    <x v="10"/>
    <x v="17"/>
    <s v="91R"/>
    <n v="1990"/>
    <s v="8x4.5"/>
    <n v="0.2"/>
    <n v="219"/>
    <n v="1095"/>
    <n v="158"/>
    <x v="340"/>
    <n v="1.25"/>
    <n v="2.2831050228310503"/>
    <d v="2003-10-08T00:00:00"/>
    <x v="86"/>
    <n v="3.51"/>
    <n v="6.8"/>
  </r>
  <r>
    <x v="3"/>
    <x v="0"/>
    <x v="3"/>
    <x v="10"/>
    <x v="17"/>
    <s v="91R"/>
    <n v="1990"/>
    <s v="8x4.5"/>
    <n v="0.2"/>
    <n v="219"/>
    <n v="1095"/>
    <m/>
    <x v="13"/>
    <m/>
    <m/>
    <m/>
    <x v="10"/>
    <m/>
    <m/>
  </r>
  <r>
    <x v="4"/>
    <x v="0"/>
    <x v="3"/>
    <x v="10"/>
    <x v="17"/>
    <s v="91R"/>
    <n v="1990"/>
    <s v="8x4.5"/>
    <n v="0.2"/>
    <n v="219"/>
    <n v="1095"/>
    <n v="133"/>
    <x v="13"/>
    <m/>
    <m/>
    <d v="2005-09-29T00:00:00"/>
    <x v="5"/>
    <n v="3.24"/>
    <n v="8.6999999999999993"/>
  </r>
  <r>
    <x v="9"/>
    <x v="0"/>
    <x v="3"/>
    <x v="10"/>
    <x v="17"/>
    <s v="91R"/>
    <n v="1990"/>
    <s v="8x4.6"/>
    <n v="0.1"/>
    <n v="219"/>
    <n v="2190"/>
    <m/>
    <x v="13"/>
    <m/>
    <m/>
    <m/>
    <x v="10"/>
    <m/>
    <m/>
  </r>
  <r>
    <x v="10"/>
    <x v="0"/>
    <x v="3"/>
    <x v="10"/>
    <x v="17"/>
    <s v="91R"/>
    <n v="1990"/>
    <s v="8x4.7"/>
    <n v="0.1"/>
    <n v="219"/>
    <n v="2190"/>
    <m/>
    <x v="13"/>
    <m/>
    <m/>
    <m/>
    <x v="10"/>
    <m/>
    <m/>
  </r>
  <r>
    <x v="11"/>
    <x v="0"/>
    <x v="3"/>
    <x v="10"/>
    <x v="17"/>
    <s v="91R"/>
    <n v="1990"/>
    <s v="8x4.8"/>
    <n v="0.1"/>
    <n v="219"/>
    <n v="2190"/>
    <m/>
    <x v="13"/>
    <m/>
    <m/>
    <m/>
    <x v="10"/>
    <m/>
    <m/>
  </r>
  <r>
    <x v="12"/>
    <x v="0"/>
    <x v="3"/>
    <x v="10"/>
    <x v="17"/>
    <s v="91R"/>
    <n v="1990"/>
    <s v="8x4.8"/>
    <n v="0.1"/>
    <n v="219"/>
    <n v="2190"/>
    <m/>
    <x v="13"/>
    <m/>
    <m/>
    <m/>
    <x v="10"/>
    <m/>
    <m/>
  </r>
  <r>
    <x v="13"/>
    <x v="1"/>
    <x v="1"/>
    <x v="1"/>
    <x v="1"/>
    <m/>
    <m/>
    <m/>
    <m/>
    <m/>
    <m/>
    <m/>
    <x v="13"/>
    <m/>
    <m/>
    <m/>
    <x v="10"/>
    <m/>
    <m/>
  </r>
  <r>
    <x v="6"/>
    <x v="0"/>
    <x v="4"/>
    <x v="0"/>
    <x v="17"/>
    <n v="667"/>
    <n v="2005"/>
    <s v="2.1x1.1"/>
    <n v="0.9"/>
    <n v="1240"/>
    <n v="1240"/>
    <n v="150"/>
    <x v="91"/>
    <n v="5.4444444444444446"/>
    <n v="7.903225806451613"/>
    <d v="2004-09-29T00:00:00"/>
    <x v="14"/>
    <n v="3.44"/>
    <n v="8.3000000000000007"/>
  </r>
  <r>
    <x v="7"/>
    <x v="0"/>
    <x v="4"/>
    <x v="0"/>
    <x v="17"/>
    <n v="667"/>
    <n v="2005"/>
    <s v="2.1x1.1"/>
    <n v="0.9"/>
    <n v="1240"/>
    <n v="1240"/>
    <n v="150"/>
    <x v="264"/>
    <n v="1.5555555555555554"/>
    <n v="2.2580645161290325"/>
    <d v="2007-09-28T00:00:00"/>
    <x v="5"/>
    <n v="3.39"/>
    <n v="6"/>
  </r>
  <r>
    <x v="8"/>
    <x v="0"/>
    <x v="4"/>
    <x v="0"/>
    <x v="17"/>
    <n v="667"/>
    <n v="2005"/>
    <s v="2.1x1.1"/>
    <n v="0.9"/>
    <n v="1240"/>
    <n v="1240"/>
    <n v="223"/>
    <x v="91"/>
    <n v="5.4444444444444446"/>
    <n v="7.903225806451613"/>
    <d v="2008-10-02T00:00:00"/>
    <x v="21"/>
    <n v="3.3"/>
    <n v="6.7"/>
  </r>
  <r>
    <x v="9"/>
    <x v="0"/>
    <x v="4"/>
    <x v="0"/>
    <x v="17"/>
    <n v="667"/>
    <n v="2005"/>
    <s v="2.1x1.1"/>
    <n v="0.9"/>
    <n v="1240"/>
    <n v="1240"/>
    <n v="215"/>
    <x v="327"/>
    <n v="3.333333333333333"/>
    <n v="4.838709677419355"/>
    <d v="2009-09-25T00:00:00"/>
    <x v="0"/>
    <n v="3.85"/>
    <n v="4.8"/>
  </r>
  <r>
    <x v="10"/>
    <x v="0"/>
    <x v="4"/>
    <x v="0"/>
    <x v="17"/>
    <n v="667"/>
    <n v="2005"/>
    <s v="2.1x1.1"/>
    <n v="0.9"/>
    <n v="1240"/>
    <n v="1240"/>
    <n v="195"/>
    <x v="184"/>
    <n v="4.4444444444444446"/>
    <n v="6.4516129032258061"/>
    <d v="2010-10-06T00:00:00"/>
    <x v="1"/>
    <n v="3.34"/>
    <n v="8.5"/>
  </r>
  <r>
    <x v="11"/>
    <x v="0"/>
    <x v="4"/>
    <x v="0"/>
    <x v="17"/>
    <n v="667"/>
    <n v="2005"/>
    <s v="2.1x1.1"/>
    <n v="0.9"/>
    <n v="1240"/>
    <n v="1240"/>
    <n v="300"/>
    <x v="341"/>
    <n v="4.9444444444444446"/>
    <n v="7.17741935483871"/>
    <d v="2011-10-17T00:00:00"/>
    <x v="6"/>
    <n v="3.38"/>
    <n v="6.6"/>
  </r>
  <r>
    <x v="12"/>
    <x v="0"/>
    <x v="4"/>
    <x v="0"/>
    <x v="17"/>
    <n v="667"/>
    <n v="2005"/>
    <s v="2.1x1.1"/>
    <n v="0.9"/>
    <n v="1240"/>
    <n v="1240"/>
    <n v="160"/>
    <x v="300"/>
    <n v="3.3444444444444441"/>
    <n v="4.854838709677419"/>
    <d v="2012-10-04T00:00:00"/>
    <x v="12"/>
    <n v="3.51"/>
    <n v="5.85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4"/>
    <x v="5"/>
    <x v="17"/>
    <s v="91R"/>
    <n v="1990"/>
    <s v="8x4.5"/>
    <n v="2.71"/>
    <n v="3279"/>
    <n v="1209.9630996309963"/>
    <n v="91"/>
    <x v="342"/>
    <n v="5.5459409594095943"/>
    <n v="9.1671241232082945"/>
    <d v="2000-10-18T00:00:00"/>
    <x v="95"/>
    <n v="3.13"/>
    <n v="10.9"/>
  </r>
  <r>
    <x v="1"/>
    <x v="0"/>
    <x v="4"/>
    <x v="5"/>
    <x v="17"/>
    <s v="91R"/>
    <n v="1990"/>
    <s v="8x4.5"/>
    <n v="2.71"/>
    <n v="3279"/>
    <n v="1209.9630996309963"/>
    <n v="175"/>
    <x v="343"/>
    <n v="3.7343173431734313"/>
    <n v="6.1726136017078375"/>
    <d v="2001-10-26T00:00:00"/>
    <x v="22"/>
    <n v="3.17"/>
    <n v="10.3"/>
  </r>
  <r>
    <x v="2"/>
    <x v="0"/>
    <x v="4"/>
    <x v="5"/>
    <x v="17"/>
    <s v="91R"/>
    <n v="1990"/>
    <s v="8x4.5"/>
    <n v="2.71"/>
    <n v="3279"/>
    <n v="1209.9630996309963"/>
    <n v="220"/>
    <x v="344"/>
    <n v="3.4833948339483394"/>
    <n v="5.7578530039646232"/>
    <d v="2003-10-05T00:00:00"/>
    <x v="26"/>
    <n v="3.3"/>
    <n v="6.3"/>
  </r>
  <r>
    <x v="3"/>
    <x v="0"/>
    <x v="4"/>
    <x v="5"/>
    <x v="17"/>
    <s v="91R"/>
    <n v="1990"/>
    <s v="8x4.5"/>
    <n v="2.71"/>
    <n v="3279"/>
    <n v="1209.9630996309963"/>
    <n v="195"/>
    <x v="144"/>
    <n v="3.8634686346863472"/>
    <n v="6.3860933211344921"/>
    <d v="2003-09-26T00:00:00"/>
    <x v="21"/>
    <n v="3.3"/>
    <n v="8"/>
  </r>
  <r>
    <x v="4"/>
    <x v="0"/>
    <x v="4"/>
    <x v="5"/>
    <x v="17"/>
    <s v="91R"/>
    <n v="1990"/>
    <s v="8x4.5"/>
    <n v="2.71"/>
    <n v="3279"/>
    <n v="1209.9630996309963"/>
    <n v="172"/>
    <x v="21"/>
    <n v="3.8007380073800743"/>
    <n v="6.2824031716986886"/>
    <d v="2004-10-04T00:00:00"/>
    <x v="23"/>
    <n v="3.53"/>
    <n v="7.7"/>
  </r>
  <r>
    <x v="5"/>
    <x v="0"/>
    <x v="4"/>
    <x v="5"/>
    <x v="17"/>
    <s v="91R"/>
    <n v="1990"/>
    <s v="8x4.5"/>
    <n v="2.71"/>
    <n v="3279"/>
    <n v="1209.9630996309963"/>
    <n v="140"/>
    <x v="240"/>
    <n v="2.2140221402214024"/>
    <n v="3.6596523330283621"/>
    <d v="2005-10-03T00:00:00"/>
    <x v="23"/>
    <n v="3.29"/>
    <n v="6.3"/>
  </r>
  <r>
    <x v="6"/>
    <x v="0"/>
    <x v="4"/>
    <x v="5"/>
    <x v="17"/>
    <s v="91R"/>
    <n v="1990"/>
    <s v="8x4.5"/>
    <n v="2.71"/>
    <n v="3279"/>
    <n v="1209.9630996309963"/>
    <n v="160"/>
    <x v="79"/>
    <n v="3.6900369003690039"/>
    <n v="6.0994205550472707"/>
    <d v="2006-10-02T00:00:00"/>
    <x v="21"/>
    <n v="3.35"/>
    <n v="7.6"/>
  </r>
  <r>
    <x v="7"/>
    <x v="0"/>
    <x v="4"/>
    <x v="5"/>
    <x v="17"/>
    <s v="91R"/>
    <n v="1990"/>
    <s v="8x4.5"/>
    <n v="2.71"/>
    <n v="3279"/>
    <n v="1209.9630996309963"/>
    <n v="170"/>
    <x v="155"/>
    <n v="5.3136531365313653"/>
    <n v="8.7831655992680702"/>
    <d v="2007-10-03T00:00:00"/>
    <x v="23"/>
    <n v="3.43"/>
    <n v="8.4"/>
  </r>
  <r>
    <x v="8"/>
    <x v="0"/>
    <x v="4"/>
    <x v="5"/>
    <x v="17"/>
    <s v="91R"/>
    <n v="1990"/>
    <s v="8x4.5"/>
    <n v="2.71"/>
    <n v="3279"/>
    <n v="1209.9630996309963"/>
    <n v="188"/>
    <x v="345"/>
    <n v="6.0516605166051658"/>
    <n v="10.003049710277523"/>
    <d v="2008-10-06T00:00:00"/>
    <x v="21"/>
    <n v="3.48"/>
    <n v="8.1999999999999993"/>
  </r>
  <r>
    <x v="9"/>
    <x v="0"/>
    <x v="4"/>
    <x v="5"/>
    <x v="17"/>
    <s v="91R"/>
    <n v="1990"/>
    <s v="8x4.5"/>
    <n v="2.71"/>
    <n v="3279"/>
    <n v="1209.9630996309963"/>
    <n v="207"/>
    <x v="224"/>
    <n v="3.6531365313653139"/>
    <n v="6.038426349496798"/>
    <d v="2009-09-29T00:00:00"/>
    <x v="96"/>
    <n v="3.7"/>
    <n v="7.2"/>
  </r>
  <r>
    <x v="10"/>
    <x v="0"/>
    <x v="4"/>
    <x v="5"/>
    <x v="17"/>
    <s v="91R"/>
    <n v="1990"/>
    <s v="8x4.5"/>
    <n v="2.71"/>
    <n v="3279"/>
    <n v="1209.9630996309963"/>
    <n v="185"/>
    <x v="21"/>
    <n v="3.8007380073800743"/>
    <n v="6.2824031716986886"/>
    <d v="2010-10-25T00:00:00"/>
    <x v="23"/>
    <n v="3.09"/>
    <n v="10.3"/>
  </r>
  <r>
    <x v="11"/>
    <x v="0"/>
    <x v="4"/>
    <x v="5"/>
    <x v="17"/>
    <s v="91R"/>
    <n v="1990"/>
    <s v="8x4.5"/>
    <n v="2.71"/>
    <n v="3279"/>
    <n v="1209.9630996309963"/>
    <n v="265"/>
    <x v="346"/>
    <n v="2.8819188191881917"/>
    <n v="4.7636474534919184"/>
    <d v="2011-10-13T00:00:00"/>
    <x v="21"/>
    <n v="3.48"/>
    <n v="6.2"/>
  </r>
  <r>
    <x v="12"/>
    <x v="0"/>
    <x v="4"/>
    <x v="5"/>
    <x v="17"/>
    <s v="91R"/>
    <n v="1990"/>
    <s v="8x4.5"/>
    <n v="2.71"/>
    <n v="3279"/>
    <n v="1209.9630996309963"/>
    <n v="131"/>
    <x v="347"/>
    <n v="3.428044280442804"/>
    <n v="5.6663616956389147"/>
    <d v="2012-10-04T00:00:00"/>
    <x v="97"/>
    <n v="3.58"/>
    <n v="5.23"/>
  </r>
  <r>
    <x v="13"/>
    <x v="1"/>
    <x v="1"/>
    <x v="1"/>
    <x v="1"/>
    <m/>
    <m/>
    <m/>
    <m/>
    <m/>
    <m/>
    <m/>
    <x v="13"/>
    <m/>
    <m/>
    <m/>
    <x v="10"/>
    <m/>
    <m/>
  </r>
  <r>
    <x v="7"/>
    <x v="0"/>
    <x v="4"/>
    <x v="7"/>
    <x v="17"/>
    <n v="115"/>
    <n v="2005"/>
    <s v="2.1x1.2"/>
    <n v="0.53"/>
    <n v="965"/>
    <m/>
    <n v="140"/>
    <x v="320"/>
    <n v="4.9056603773584904"/>
    <n v="5.3886010362694297"/>
    <d v="2007-09-28T00:00:00"/>
    <x v="5"/>
    <n v="3.39"/>
    <n v="6"/>
  </r>
  <r>
    <x v="8"/>
    <x v="0"/>
    <x v="4"/>
    <x v="7"/>
    <x v="17"/>
    <n v="115"/>
    <n v="2005"/>
    <s v="2.1x1.2"/>
    <n v="0.53"/>
    <n v="965"/>
    <m/>
    <n v="208"/>
    <x v="321"/>
    <n v="4.3396226415094334"/>
    <n v="4.766839378238342"/>
    <d v="2008-10-03T00:00:00"/>
    <x v="28"/>
    <n v="3.3"/>
    <n v="6.2"/>
  </r>
  <r>
    <x v="9"/>
    <x v="0"/>
    <x v="4"/>
    <x v="7"/>
    <x v="17"/>
    <n v="115"/>
    <n v="2005"/>
    <s v="2.1x1.2"/>
    <n v="0.53"/>
    <n v="965"/>
    <m/>
    <n v="190"/>
    <x v="5"/>
    <n v="3.773584905660377"/>
    <n v="4.1450777202072535"/>
    <d v="2009-09-25T00:00:00"/>
    <x v="0"/>
    <n v="3.85"/>
    <n v="4.8"/>
  </r>
  <r>
    <x v="10"/>
    <x v="0"/>
    <x v="4"/>
    <x v="7"/>
    <x v="17"/>
    <n v="115"/>
    <n v="2005"/>
    <s v="2.1x1.2"/>
    <n v="0.53"/>
    <n v="965"/>
    <m/>
    <n v="180"/>
    <x v="308"/>
    <n v="4.5283018867924527"/>
    <n v="4.9740932642487046"/>
    <d v="2010-10-06T00:00:00"/>
    <x v="1"/>
    <n v="3.32"/>
    <n v="7.6"/>
  </r>
  <r>
    <x v="11"/>
    <x v="0"/>
    <x v="4"/>
    <x v="7"/>
    <x v="17"/>
    <n v="115"/>
    <n v="2005"/>
    <s v="2.1x1.2"/>
    <n v="0.53"/>
    <n v="965"/>
    <m/>
    <n v="283"/>
    <x v="348"/>
    <n v="4.5849056603773581"/>
    <n v="5.0362694300518136"/>
    <d v="2011-10-17T00:00:00"/>
    <x v="6"/>
    <n v="3.54"/>
    <n v="7.5"/>
  </r>
  <r>
    <x v="12"/>
    <x v="0"/>
    <x v="4"/>
    <x v="7"/>
    <x v="17"/>
    <n v="115"/>
    <n v="2005"/>
    <s v="2.1x1.2"/>
    <n v="0.53"/>
    <n v="965"/>
    <m/>
    <n v="180"/>
    <x v="349"/>
    <n v="3.6037735849056602"/>
    <n v="3.9585492227979273"/>
    <d v="2012-10-04T00:00:00"/>
    <x v="4"/>
    <n v="3.47"/>
    <n v="6.1"/>
  </r>
  <r>
    <x v="13"/>
    <x v="1"/>
    <x v="1"/>
    <x v="1"/>
    <x v="1"/>
    <m/>
    <m/>
    <m/>
    <m/>
    <m/>
    <m/>
    <m/>
    <x v="13"/>
    <m/>
    <m/>
    <m/>
    <x v="10"/>
    <m/>
    <m/>
  </r>
  <r>
    <x v="8"/>
    <x v="0"/>
    <x v="4"/>
    <x v="11"/>
    <x v="17"/>
    <n v="115"/>
    <n v="2005"/>
    <s v="2.1x1.2"/>
    <n v="1.25"/>
    <n v="1990"/>
    <m/>
    <n v="155"/>
    <x v="87"/>
    <n v="4.08"/>
    <n v="5.125628140703518"/>
    <d v="2008-10-03T00:00:00"/>
    <x v="28"/>
    <n v="3.3"/>
    <n v="6.2"/>
  </r>
  <r>
    <x v="9"/>
    <x v="0"/>
    <x v="4"/>
    <x v="11"/>
    <x v="17"/>
    <n v="115"/>
    <n v="2005"/>
    <s v="2.1x1.2"/>
    <n v="1.25"/>
    <n v="1990"/>
    <m/>
    <n v="165"/>
    <x v="30"/>
    <n v="3.44"/>
    <n v="4.3216080402010046"/>
    <d v="2009-09-25T00:00:00"/>
    <x v="2"/>
    <n v="3.88"/>
    <n v="4.8"/>
  </r>
  <r>
    <x v="10"/>
    <x v="0"/>
    <x v="4"/>
    <x v="11"/>
    <x v="17"/>
    <n v="115"/>
    <n v="2005"/>
    <s v="2.1x1.2"/>
    <n v="1.25"/>
    <n v="1990"/>
    <m/>
    <n v="140"/>
    <x v="256"/>
    <n v="4.6399999999999997"/>
    <n v="5.8291457286432165"/>
    <d v="2010-10-06T00:00:00"/>
    <x v="1"/>
    <n v="3.32"/>
    <n v="7.6"/>
  </r>
  <r>
    <x v="11"/>
    <x v="0"/>
    <x v="4"/>
    <x v="11"/>
    <x v="17"/>
    <n v="115"/>
    <n v="2005"/>
    <s v="2.1x1.2"/>
    <n v="1.25"/>
    <n v="1990"/>
    <m/>
    <n v="290"/>
    <x v="350"/>
    <n v="4.2320000000000002"/>
    <n v="5.316582914572864"/>
    <d v="2011-10-17T00:00:00"/>
    <x v="28"/>
    <n v="3.41"/>
    <n v="6.4"/>
  </r>
  <r>
    <x v="12"/>
    <x v="0"/>
    <x v="4"/>
    <x v="11"/>
    <x v="17"/>
    <n v="115"/>
    <n v="2005"/>
    <s v="2.1x1.2"/>
    <n v="1.25"/>
    <n v="1990"/>
    <m/>
    <n v="180"/>
    <x v="351"/>
    <n v="4.1680000000000001"/>
    <n v="5.2361809045226133"/>
    <d v="2012-10-04T00:00:00"/>
    <x v="4"/>
    <n v="3.47"/>
    <n v="6.1"/>
  </r>
  <r>
    <x v="13"/>
    <x v="1"/>
    <x v="1"/>
    <x v="1"/>
    <x v="1"/>
    <m/>
    <m/>
    <m/>
    <m/>
    <m/>
    <m/>
    <m/>
    <x v="13"/>
    <m/>
    <m/>
    <m/>
    <x v="10"/>
    <m/>
    <m/>
  </r>
  <r>
    <x v="7"/>
    <x v="0"/>
    <x v="4"/>
    <x v="10"/>
    <x v="17"/>
    <n v="777"/>
    <n v="2005"/>
    <s v="2.1x1.2"/>
    <n v="1.63"/>
    <n v="2600"/>
    <m/>
    <m/>
    <x v="248"/>
    <n v="1.7177914110429449"/>
    <n v="2.1538461538461537"/>
    <d v="2007-09-28T00:00:00"/>
    <x v="5"/>
    <n v="3.39"/>
    <n v="6"/>
  </r>
  <r>
    <x v="8"/>
    <x v="0"/>
    <x v="4"/>
    <x v="10"/>
    <x v="17"/>
    <n v="777"/>
    <n v="2005"/>
    <s v="2.1x1.2"/>
    <n v="1.63"/>
    <n v="2600"/>
    <m/>
    <n v="213"/>
    <x v="205"/>
    <n v="3.7423312883435584"/>
    <n v="4.6923076923076925"/>
    <d v="2008-10-02T00:00:00"/>
    <x v="28"/>
    <n v="3.31"/>
    <n v="6.2"/>
  </r>
  <r>
    <x v="9"/>
    <x v="0"/>
    <x v="4"/>
    <x v="10"/>
    <x v="17"/>
    <n v="777"/>
    <n v="2005"/>
    <s v="2.1x1.2"/>
    <n v="1.63"/>
    <n v="2600"/>
    <m/>
    <n v="200"/>
    <x v="233"/>
    <n v="2.9447852760736195"/>
    <n v="3.6923076923076925"/>
    <d v="2009-09-25T00:00:00"/>
    <x v="9"/>
    <n v="3.78"/>
    <n v="5.2"/>
  </r>
  <r>
    <x v="10"/>
    <x v="0"/>
    <x v="4"/>
    <x v="10"/>
    <x v="17"/>
    <n v="777"/>
    <n v="2005"/>
    <s v="2.1x1.2"/>
    <n v="1.63"/>
    <n v="2600"/>
    <m/>
    <n v="163"/>
    <x v="352"/>
    <n v="3.3128834355828225"/>
    <n v="4.1538461538461542"/>
    <d v="2010-10-06T00:00:00"/>
    <x v="6"/>
    <n v="3.2"/>
    <n v="10.5"/>
  </r>
  <r>
    <x v="11"/>
    <x v="0"/>
    <x v="4"/>
    <x v="10"/>
    <x v="17"/>
    <n v="777"/>
    <n v="2005"/>
    <s v="2.1x1.2"/>
    <n v="1.63"/>
    <n v="2600"/>
    <m/>
    <n v="210"/>
    <x v="353"/>
    <n v="4.368098159509203"/>
    <n v="5.476923076923077"/>
    <d v="2011-10-17T00:00:00"/>
    <x v="6"/>
    <n v="3.52"/>
    <n v="7.7"/>
  </r>
  <r>
    <x v="12"/>
    <x v="0"/>
    <x v="4"/>
    <x v="10"/>
    <x v="17"/>
    <n v="777"/>
    <n v="2005"/>
    <s v="2.1x1.2"/>
    <n v="1.63"/>
    <n v="2600"/>
    <m/>
    <n v="175"/>
    <x v="354"/>
    <n v="4.3496932515337425"/>
    <n v="5.453846153846154"/>
    <d v="2012-10-04T00:00:00"/>
    <x v="14"/>
    <n v="3.52"/>
    <n v="5.5"/>
  </r>
  <r>
    <x v="14"/>
    <x v="1"/>
    <x v="1"/>
    <x v="1"/>
    <x v="1"/>
    <m/>
    <m/>
    <m/>
    <m/>
    <m/>
    <m/>
    <m/>
    <x v="13"/>
    <m/>
    <m/>
    <m/>
    <x v="10"/>
    <m/>
    <m/>
  </r>
  <r>
    <x v="0"/>
    <x v="0"/>
    <x v="4"/>
    <x v="13"/>
    <x v="17"/>
    <s v="91R"/>
    <n v="1990"/>
    <s v="8 x 4.5"/>
    <n v="1.73"/>
    <n v="2093"/>
    <n v="1209.8265895953757"/>
    <m/>
    <x v="355"/>
    <n v="4.0592485549132951"/>
    <n v="6.7104634495938846"/>
    <d v="2001-11-03T00:00:00"/>
    <x v="5"/>
    <n v="3.03"/>
    <n v="10.199999999999999"/>
  </r>
  <r>
    <x v="1"/>
    <x v="0"/>
    <x v="4"/>
    <x v="13"/>
    <x v="17"/>
    <s v="91R"/>
    <n v="1990"/>
    <s v="8 x 4.5"/>
    <n v="1.73"/>
    <n v="2093"/>
    <n v="1209.8265895953757"/>
    <n v="185"/>
    <x v="356"/>
    <n v="3.2398843930635839"/>
    <n v="5.3559483994266603"/>
    <d v="2001-10-26T00:00:00"/>
    <x v="28"/>
    <n v="3.13"/>
    <n v="9.1999999999999993"/>
  </r>
  <r>
    <x v="2"/>
    <x v="0"/>
    <x v="4"/>
    <x v="13"/>
    <x v="17"/>
    <s v="91R"/>
    <n v="1990"/>
    <s v="8 x 4.5"/>
    <n v="1.73"/>
    <n v="2093"/>
    <n v="1209.8265895953757"/>
    <n v="170"/>
    <x v="197"/>
    <n v="2.0809248554913298"/>
    <n v="3.4400382226469182"/>
    <d v="2003-10-08T00:00:00"/>
    <x v="3"/>
    <n v="3.31"/>
    <n v="8.6999999999999993"/>
  </r>
  <r>
    <x v="3"/>
    <x v="0"/>
    <x v="4"/>
    <x v="13"/>
    <x v="17"/>
    <s v="91R"/>
    <n v="1990"/>
    <s v="8 x 4.5"/>
    <n v="1.73"/>
    <n v="2093"/>
    <n v="1209.8265895953757"/>
    <n v="173"/>
    <x v="139"/>
    <n v="4.7976878612716769"/>
    <n v="7.9311992355470613"/>
    <d v="2003-10-08T00:00:00"/>
    <x v="23"/>
    <n v="3.27"/>
    <n v="5.9"/>
  </r>
  <r>
    <x v="4"/>
    <x v="0"/>
    <x v="4"/>
    <x v="13"/>
    <x v="17"/>
    <s v="91R"/>
    <n v="1990"/>
    <s v="8 x 4.5"/>
    <n v="1.73"/>
    <n v="2093"/>
    <n v="1209.8265895953757"/>
    <n v="195"/>
    <x v="357"/>
    <n v="4.2774566473988438"/>
    <n v="7.0711896798853324"/>
    <d v="2004-09-29T00:00:00"/>
    <x v="26"/>
    <n v="3.54"/>
    <n v="7.9"/>
  </r>
  <r>
    <x v="5"/>
    <x v="0"/>
    <x v="4"/>
    <x v="13"/>
    <x v="17"/>
    <s v="91R"/>
    <n v="1990"/>
    <s v="8 x 4.5"/>
    <n v="1.73"/>
    <n v="2093"/>
    <n v="1209.8265895953757"/>
    <n v="137"/>
    <x v="232"/>
    <n v="3.2947976878612719"/>
    <n v="5.4467271858576209"/>
    <d v="2004-09-29T00:00:00"/>
    <x v="94"/>
    <n v="3.34"/>
    <n v="8.4"/>
  </r>
  <r>
    <x v="6"/>
    <x v="0"/>
    <x v="4"/>
    <x v="13"/>
    <x v="17"/>
    <s v="91R"/>
    <n v="1990"/>
    <s v="8 x 4.5"/>
    <n v="1.73"/>
    <n v="2093"/>
    <n v="1209.8265895953757"/>
    <n v="130"/>
    <x v="250"/>
    <n v="4.8554913294797695"/>
    <n v="8.0267558528428093"/>
    <d v="2006-10-03T00:00:00"/>
    <x v="5"/>
    <n v="3.58"/>
    <n v="6.26"/>
  </r>
  <r>
    <x v="7"/>
    <x v="0"/>
    <x v="4"/>
    <x v="13"/>
    <x v="17"/>
    <s v="91R"/>
    <n v="1990"/>
    <s v="8 x 4.5"/>
    <n v="1.73"/>
    <n v="2093"/>
    <n v="1209.8265895953757"/>
    <n v="195"/>
    <x v="72"/>
    <n v="5.895953757225433"/>
    <n v="9.7467749641662689"/>
    <d v="2006-10-03T00:00:00"/>
    <x v="2"/>
    <n v="3.33"/>
    <n v="8.4"/>
  </r>
  <r>
    <x v="8"/>
    <x v="0"/>
    <x v="4"/>
    <x v="13"/>
    <x v="17"/>
    <s v="91R"/>
    <n v="1990"/>
    <s v="8 x 4.5"/>
    <n v="1.73"/>
    <n v="2093"/>
    <n v="1209.8265895953757"/>
    <n v="222"/>
    <x v="6"/>
    <n v="6.1849710982658959"/>
    <n v="10.224558050645006"/>
    <d v="2008-10-06T00:00:00"/>
    <x v="30"/>
    <n v="3.48"/>
    <n v="7.5"/>
  </r>
  <r>
    <x v="9"/>
    <x v="0"/>
    <x v="4"/>
    <x v="13"/>
    <x v="17"/>
    <s v="91R"/>
    <n v="1990"/>
    <s v="8 x 4.5"/>
    <n v="1.73"/>
    <n v="2093"/>
    <n v="1209.8265895953757"/>
    <n v="203"/>
    <x v="358"/>
    <n v="4.1618497109826595"/>
    <n v="6.8800764452938363"/>
    <d v="2009-09-30T00:00:00"/>
    <x v="85"/>
    <n v="4.01"/>
    <n v="8.4"/>
  </r>
  <r>
    <x v="10"/>
    <x v="0"/>
    <x v="4"/>
    <x v="13"/>
    <x v="17"/>
    <s v="91R"/>
    <n v="1990"/>
    <s v="8 x 4.5"/>
    <n v="1.73"/>
    <n v="2093"/>
    <n v="1209.8265895953757"/>
    <n v="180"/>
    <x v="90"/>
    <n v="3.6416184971098264"/>
    <n v="6.0200668896321075"/>
    <d v="2010-10-07T00:00:00"/>
    <x v="63"/>
    <n v="3.45"/>
    <n v="10.5"/>
  </r>
  <r>
    <x v="11"/>
    <x v="0"/>
    <x v="4"/>
    <x v="13"/>
    <x v="17"/>
    <s v="91R"/>
    <n v="1990"/>
    <s v="8 x 4.5"/>
    <n v="1.73"/>
    <n v="2093"/>
    <n v="1209.8265895953757"/>
    <n v="260"/>
    <x v="359"/>
    <n v="3.7745664739884397"/>
    <n v="6.2398471094123265"/>
    <d v="2011-10-20T00:00:00"/>
    <x v="1"/>
    <n v="3.63"/>
    <n v="6.75"/>
  </r>
  <r>
    <x v="12"/>
    <x v="0"/>
    <x v="4"/>
    <x v="13"/>
    <x v="17"/>
    <s v="91R"/>
    <n v="1990"/>
    <s v="8 x 4.5"/>
    <n v="1.73"/>
    <n v="2093"/>
    <n v="1209.8265895953757"/>
    <n v="183"/>
    <x v="360"/>
    <n v="2.8959537572254335"/>
    <n v="4.7873865265169613"/>
    <d v="2012-10-05T00:00:00"/>
    <x v="23"/>
    <n v="3.55"/>
    <n v="5.2"/>
  </r>
  <r>
    <x v="13"/>
    <x v="1"/>
    <x v="1"/>
    <x v="1"/>
    <x v="1"/>
    <m/>
    <m/>
    <m/>
    <m/>
    <m/>
    <m/>
    <m/>
    <x v="13"/>
    <m/>
    <m/>
    <m/>
    <x v="10"/>
    <m/>
    <m/>
  </r>
  <r>
    <x v="5"/>
    <x v="0"/>
    <x v="4"/>
    <x v="14"/>
    <x v="17"/>
    <n v="115"/>
    <n v="2003"/>
    <s v="2.1x1.1"/>
    <n v="1.46"/>
    <n v="2600"/>
    <n v="1780"/>
    <n v="130"/>
    <x v="308"/>
    <n v="1.6438356164383561"/>
    <n v="1.8461538461538463"/>
    <d v="2004-09-29T00:00:00"/>
    <x v="3"/>
    <n v="3.59"/>
    <n v="8.9"/>
  </r>
  <r>
    <x v="6"/>
    <x v="0"/>
    <x v="4"/>
    <x v="14"/>
    <x v="17"/>
    <n v="115"/>
    <n v="2003"/>
    <s v="2.1x1.1"/>
    <n v="1.46"/>
    <n v="2600"/>
    <n v="1780"/>
    <n v="150"/>
    <x v="91"/>
    <n v="3.3561643835616444"/>
    <n v="3.7692307692307692"/>
    <d v="2004-09-29T00:00:00"/>
    <x v="14"/>
    <n v="3.44"/>
    <n v="8.3000000000000007"/>
  </r>
  <r>
    <x v="7"/>
    <x v="0"/>
    <x v="4"/>
    <x v="14"/>
    <x v="17"/>
    <n v="115"/>
    <n v="2003"/>
    <s v="2.1x1.1"/>
    <n v="1.46"/>
    <n v="2600"/>
    <n v="1780"/>
    <n v="148"/>
    <x v="3"/>
    <n v="4.7260273972602747"/>
    <n v="5.3076923076923075"/>
    <d v="2007-10-04T00:00:00"/>
    <x v="27"/>
    <n v="3.58"/>
    <n v="5.8"/>
  </r>
  <r>
    <x v="8"/>
    <x v="0"/>
    <x v="4"/>
    <x v="14"/>
    <x v="17"/>
    <n v="115"/>
    <n v="2003"/>
    <s v="2.1x1.1"/>
    <n v="1.46"/>
    <n v="2600"/>
    <n v="1780"/>
    <n v="180"/>
    <x v="361"/>
    <n v="6.0273972602739736"/>
    <n v="6.7692307692307692"/>
    <d v="2008-10-06T00:00:00"/>
    <x v="30"/>
    <n v="3.43"/>
    <n v="7.4"/>
  </r>
  <r>
    <x v="9"/>
    <x v="0"/>
    <x v="4"/>
    <x v="14"/>
    <x v="17"/>
    <n v="115"/>
    <n v="2003"/>
    <s v="2.1x1.1"/>
    <n v="1.46"/>
    <n v="2600"/>
    <n v="1780"/>
    <n v="125"/>
    <x v="33"/>
    <n v="4.2465753424657535"/>
    <n v="4.7692307692307692"/>
    <d v="2009-09-30T00:00:00"/>
    <x v="87"/>
    <n v="4.1500000000000004"/>
    <n v="5.0999999999999996"/>
  </r>
  <r>
    <x v="10"/>
    <x v="0"/>
    <x v="4"/>
    <x v="14"/>
    <x v="17"/>
    <n v="115"/>
    <n v="2003"/>
    <s v="2.1x1.1"/>
    <n v="1.46"/>
    <n v="2600"/>
    <n v="1780"/>
    <n v="170"/>
    <x v="352"/>
    <n v="3.6986301369863015"/>
    <n v="4.1538461538461542"/>
    <d v="2010-10-07T00:00:00"/>
    <x v="63"/>
    <n v="3.43"/>
    <n v="11.4"/>
  </r>
  <r>
    <x v="11"/>
    <x v="0"/>
    <x v="4"/>
    <x v="14"/>
    <x v="17"/>
    <n v="115"/>
    <n v="2003"/>
    <s v="2.1x1.1"/>
    <n v="1.46"/>
    <n v="2600"/>
    <n v="1780"/>
    <n v="202.5"/>
    <x v="362"/>
    <n v="3.602739726027397"/>
    <n v="4.046153846153846"/>
    <d v="2011-10-20T00:00:00"/>
    <x v="21"/>
    <n v="3.65"/>
    <n v="6.4"/>
  </r>
  <r>
    <x v="12"/>
    <x v="0"/>
    <x v="4"/>
    <x v="14"/>
    <x v="17"/>
    <n v="115"/>
    <n v="2003"/>
    <s v="2.1x1.1"/>
    <n v="1.46"/>
    <n v="2600"/>
    <n v="1780"/>
    <n v="155"/>
    <x v="363"/>
    <n v="2.897260273972603"/>
    <n v="3.2538461538461538"/>
    <d v="2012-10-05T00:00:00"/>
    <x v="22"/>
    <n v="3.58"/>
    <n v="5.13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5"/>
    <x v="3"/>
    <x v="17"/>
    <n v="115"/>
    <n v="1997"/>
    <s v="2.0x1.1"/>
    <n v="1.43"/>
    <n v="2450"/>
    <n v="1713.2867132867134"/>
    <m/>
    <x v="364"/>
    <n v="1.6674825174825176"/>
    <n v="1.946530612244898"/>
    <d v="2001-11-03T00:00:00"/>
    <x v="1"/>
    <n v="3.21"/>
    <n v="8.1999999999999993"/>
  </r>
  <r>
    <x v="1"/>
    <x v="0"/>
    <x v="5"/>
    <x v="3"/>
    <x v="17"/>
    <n v="115"/>
    <n v="1997"/>
    <s v="2.0x1.1"/>
    <n v="1.43"/>
    <n v="2450"/>
    <n v="1713.2867132867134"/>
    <n v="120"/>
    <x v="183"/>
    <n v="2.7272727272727275"/>
    <n v="3.1836734693877551"/>
    <d v="2001-10-30T00:00:00"/>
    <x v="6"/>
    <n v="3.11"/>
    <n v="9.1999999999999993"/>
  </r>
  <r>
    <x v="2"/>
    <x v="0"/>
    <x v="5"/>
    <x v="3"/>
    <x v="17"/>
    <n v="115"/>
    <n v="1997"/>
    <s v="2.0x1.1"/>
    <n v="1.43"/>
    <n v="2450"/>
    <n v="1713.2867132867134"/>
    <n v="170"/>
    <x v="365"/>
    <n v="3.9020979020979025"/>
    <n v="4.555102040816327"/>
    <d v="2003-10-09T00:00:00"/>
    <x v="3"/>
    <n v="3.38"/>
    <n v="6.7"/>
  </r>
  <r>
    <x v="3"/>
    <x v="0"/>
    <x v="5"/>
    <x v="3"/>
    <x v="17"/>
    <n v="115"/>
    <n v="1997"/>
    <s v="2.0x1.1"/>
    <n v="1.43"/>
    <n v="2450"/>
    <n v="1713.2867132867134"/>
    <n v="183"/>
    <x v="188"/>
    <n v="3.2167832167832167"/>
    <n v="3.7551020408163267"/>
    <d v="2003-10-04T00:00:00"/>
    <x v="26"/>
    <n v="3.58"/>
    <n v="5"/>
  </r>
  <r>
    <x v="4"/>
    <x v="0"/>
    <x v="5"/>
    <x v="3"/>
    <x v="17"/>
    <n v="115"/>
    <n v="1997"/>
    <s v="2.0x1.1"/>
    <n v="1.43"/>
    <n v="2450"/>
    <n v="1713.2867132867134"/>
    <n v="198"/>
    <x v="87"/>
    <n v="3.5664335664335662"/>
    <n v="4.1632653061224492"/>
    <d v="2004-10-06T00:00:00"/>
    <x v="5"/>
    <n v="3.54"/>
    <n v="5.0999999999999996"/>
  </r>
  <r>
    <x v="5"/>
    <x v="0"/>
    <x v="5"/>
    <x v="3"/>
    <x v="17"/>
    <n v="115"/>
    <n v="1997"/>
    <s v="2.0x1.1"/>
    <n v="1.43"/>
    <n v="2450"/>
    <n v="1713.2867132867134"/>
    <n v="120"/>
    <x v="352"/>
    <n v="3.7762237762237767"/>
    <n v="4.408163265306122"/>
    <d v="2005-10-13T00:00:00"/>
    <x v="5"/>
    <n v="3.45"/>
    <n v="5.5"/>
  </r>
  <r>
    <x v="6"/>
    <x v="0"/>
    <x v="5"/>
    <x v="3"/>
    <x v="17"/>
    <n v="115"/>
    <n v="1997"/>
    <s v="2.0x1.1"/>
    <n v="1.43"/>
    <n v="2450"/>
    <n v="1713.2867132867134"/>
    <n v="187"/>
    <x v="256"/>
    <n v="4.0559440559440558"/>
    <n v="4.7346938775510203"/>
    <d v="2006-10-10T00:00:00"/>
    <x v="23"/>
    <n v="3.7"/>
    <n v="5.0999999999999996"/>
  </r>
  <r>
    <x v="7"/>
    <x v="0"/>
    <x v="5"/>
    <x v="3"/>
    <x v="17"/>
    <n v="115"/>
    <n v="1997"/>
    <s v="2.0x1.1"/>
    <n v="1.43"/>
    <n v="2450"/>
    <n v="1713.2867132867134"/>
    <n v="192"/>
    <x v="241"/>
    <n v="4.6853146853146859"/>
    <n v="5.4693877551020407"/>
    <d v="2007-10-16T00:00:00"/>
    <x v="28"/>
    <n v="3.5"/>
    <n v="6.3"/>
  </r>
  <r>
    <x v="8"/>
    <x v="0"/>
    <x v="5"/>
    <x v="3"/>
    <x v="17"/>
    <n v="115"/>
    <n v="1997"/>
    <s v="2.0x1.1"/>
    <n v="1.43"/>
    <n v="2450"/>
    <n v="1713.2867132867134"/>
    <n v="167"/>
    <x v="205"/>
    <n v="4.2657342657342658"/>
    <n v="4.9795918367346941"/>
    <d v="2008-10-16T00:00:00"/>
    <x v="22"/>
    <n v="3.6"/>
    <n v="7.28"/>
  </r>
  <r>
    <x v="9"/>
    <x v="0"/>
    <x v="5"/>
    <x v="3"/>
    <x v="17"/>
    <n v="115"/>
    <n v="1997"/>
    <s v="2.0x1.1"/>
    <n v="1.43"/>
    <n v="2450"/>
    <n v="1713.2867132867134"/>
    <n v="180"/>
    <x v="31"/>
    <n v="3.6363636363636367"/>
    <n v="4.2448979591836737"/>
    <d v="2009-09-30T00:00:00"/>
    <x v="2"/>
    <n v="3.9"/>
    <n v="7.5"/>
  </r>
  <r>
    <x v="10"/>
    <x v="0"/>
    <x v="5"/>
    <x v="3"/>
    <x v="17"/>
    <n v="115"/>
    <n v="1997"/>
    <s v="2.0x1.1"/>
    <n v="1.43"/>
    <n v="2450"/>
    <n v="1713.2867132867134"/>
    <n v="135"/>
    <x v="160"/>
    <n v="2.8671328671328671"/>
    <n v="3.3469387755102042"/>
    <d v="2010-10-12T00:00:00"/>
    <x v="5"/>
    <n v="3.36"/>
    <n v="9.5"/>
  </r>
  <r>
    <x v="11"/>
    <x v="0"/>
    <x v="5"/>
    <x v="3"/>
    <x v="17"/>
    <n v="115"/>
    <n v="1997"/>
    <s v="2.0x1.1"/>
    <n v="1.43"/>
    <n v="2450"/>
    <n v="1713.2867132867134"/>
    <m/>
    <x v="366"/>
    <n v="3.3286713286713288"/>
    <n v="3.8857142857142857"/>
    <d v="2011-10-31T00:00:00"/>
    <x v="74"/>
    <n v="3.31"/>
    <n v="6.7"/>
  </r>
  <r>
    <x v="12"/>
    <x v="0"/>
    <x v="5"/>
    <x v="3"/>
    <x v="17"/>
    <n v="115"/>
    <n v="1997"/>
    <s v="2.0x1.1"/>
    <n v="1.43"/>
    <n v="2450"/>
    <n v="1713.2867132867134"/>
    <n v="160"/>
    <x v="367"/>
    <n v="2.9160839160839163"/>
    <n v="3.4040816326530612"/>
    <d v="2012-10-19T00:00:00"/>
    <x v="22"/>
    <n v="3.54"/>
    <n v="5.19"/>
  </r>
  <r>
    <x v="13"/>
    <x v="1"/>
    <x v="1"/>
    <x v="1"/>
    <x v="1"/>
    <m/>
    <m/>
    <m/>
    <m/>
    <m/>
    <m/>
    <m/>
    <x v="13"/>
    <m/>
    <m/>
    <m/>
    <x v="10"/>
    <m/>
    <m/>
  </r>
  <r>
    <x v="0"/>
    <x v="0"/>
    <x v="5"/>
    <x v="8"/>
    <x v="17"/>
    <n v="777"/>
    <n v="1997"/>
    <s v="2.0x1.1"/>
    <n v="1.87"/>
    <n v="3200"/>
    <n v="1711.229946524064"/>
    <m/>
    <x v="368"/>
    <n v="2.6911764705882351"/>
    <n v="3.1453125000000002"/>
    <d v="2001-11-03T00:00:00"/>
    <x v="22"/>
    <n v="3.22"/>
    <n v="8.3000000000000007"/>
  </r>
  <r>
    <x v="1"/>
    <x v="0"/>
    <x v="5"/>
    <x v="8"/>
    <x v="17"/>
    <n v="777"/>
    <n v="1997"/>
    <s v="2.0x1.1"/>
    <n v="1.87"/>
    <n v="3200"/>
    <n v="1711.229946524064"/>
    <n v="125"/>
    <x v="369"/>
    <n v="3.2566844919786093"/>
    <n v="3.8062499999999999"/>
    <d v="2001-10-30T00:00:00"/>
    <x v="21"/>
    <n v="3.23"/>
    <n v="8.6999999999999993"/>
  </r>
  <r>
    <x v="2"/>
    <x v="0"/>
    <x v="5"/>
    <x v="8"/>
    <x v="17"/>
    <n v="777"/>
    <n v="1997"/>
    <s v="2.0x1.1"/>
    <n v="1.87"/>
    <n v="3200"/>
    <n v="1711.229946524064"/>
    <n v="150"/>
    <x v="258"/>
    <n v="2.1443850267379676"/>
    <n v="2.5062500000000001"/>
    <d v="2003-10-09T00:00:00"/>
    <x v="23"/>
    <n v="3.41"/>
    <n v="6.2"/>
  </r>
  <r>
    <x v="3"/>
    <x v="0"/>
    <x v="5"/>
    <x v="8"/>
    <x v="17"/>
    <n v="777"/>
    <n v="1997"/>
    <s v="2.0x1.1"/>
    <n v="1.87"/>
    <n v="3200"/>
    <n v="1711.229946524064"/>
    <n v="180"/>
    <x v="33"/>
    <n v="3.3155080213903743"/>
    <n v="3.875"/>
    <d v="2003-10-04T00:00:00"/>
    <x v="2"/>
    <n v="3.62"/>
    <n v="4.9000000000000004"/>
  </r>
  <r>
    <x v="4"/>
    <x v="0"/>
    <x v="5"/>
    <x v="8"/>
    <x v="17"/>
    <n v="777"/>
    <n v="1997"/>
    <s v="2.0x1.1"/>
    <n v="1.87"/>
    <n v="3200"/>
    <n v="1711.229946524064"/>
    <n v="156"/>
    <x v="358"/>
    <n v="3.8502673796791442"/>
    <n v="4.5"/>
    <d v="2004-10-06T00:00:00"/>
    <x v="21"/>
    <n v="3.55"/>
    <n v="5.0999999999999996"/>
  </r>
  <r>
    <x v="5"/>
    <x v="0"/>
    <x v="5"/>
    <x v="8"/>
    <x v="17"/>
    <n v="777"/>
    <n v="1997"/>
    <s v="2.0x1.1"/>
    <n v="1.87"/>
    <n v="3200"/>
    <n v="1711.229946524064"/>
    <n v="120"/>
    <x v="358"/>
    <n v="3.8502673796791442"/>
    <n v="4.5"/>
    <d v="2005-10-13T00:00:00"/>
    <x v="9"/>
    <n v="3.43"/>
    <n v="5.8"/>
  </r>
  <r>
    <x v="6"/>
    <x v="0"/>
    <x v="5"/>
    <x v="8"/>
    <x v="17"/>
    <n v="777"/>
    <n v="1997"/>
    <s v="2.0x1.1"/>
    <n v="1.87"/>
    <n v="3200"/>
    <n v="1711.229946524064"/>
    <n v="144"/>
    <x v="82"/>
    <n v="4.0106951871657754"/>
    <n v="4.6875"/>
    <d v="2006-10-10T00:00:00"/>
    <x v="23"/>
    <n v="3.6"/>
    <n v="8.1"/>
  </r>
  <r>
    <x v="7"/>
    <x v="0"/>
    <x v="5"/>
    <x v="8"/>
    <x v="17"/>
    <n v="777"/>
    <n v="1997"/>
    <s v="2.0x1.1"/>
    <n v="1.87"/>
    <n v="3200"/>
    <n v="1711.229946524064"/>
    <n v="187"/>
    <x v="54"/>
    <n v="4.545454545454545"/>
    <n v="5.3125"/>
    <d v="2007-10-16T00:00:00"/>
    <x v="21"/>
    <n v="3.45"/>
    <n v="6.1"/>
  </r>
  <r>
    <x v="8"/>
    <x v="0"/>
    <x v="5"/>
    <x v="8"/>
    <x v="17"/>
    <n v="777"/>
    <n v="1997"/>
    <s v="2.0x1.1"/>
    <n v="1.87"/>
    <n v="3200"/>
    <n v="1711.229946524064"/>
    <n v="160"/>
    <x v="225"/>
    <n v="4.1711229946524062"/>
    <n v="4.875"/>
    <d v="2008-10-16T00:00:00"/>
    <x v="21"/>
    <n v="3.52"/>
    <n v="6.53"/>
  </r>
  <r>
    <x v="9"/>
    <x v="0"/>
    <x v="5"/>
    <x v="8"/>
    <x v="17"/>
    <n v="777"/>
    <n v="1997"/>
    <s v="2.0x1.1"/>
    <n v="1.87"/>
    <n v="3200"/>
    <n v="1711.229946524064"/>
    <n v="175"/>
    <x v="201"/>
    <n v="3.5294117647058818"/>
    <n v="4.125"/>
    <d v="2009-09-30T00:00:00"/>
    <x v="23"/>
    <n v="3.9"/>
    <n v="7.7"/>
  </r>
  <r>
    <x v="10"/>
    <x v="0"/>
    <x v="5"/>
    <x v="8"/>
    <x v="17"/>
    <n v="777"/>
    <n v="1997"/>
    <s v="2.0x1.1"/>
    <n v="1.84"/>
    <n v="3200"/>
    <n v="1739.1304347826085"/>
    <n v="150"/>
    <x v="352"/>
    <n v="2.9347826086956523"/>
    <n v="3.375"/>
    <d v="2010-10-12T00:00:00"/>
    <x v="5"/>
    <n v="3.33"/>
    <n v="10.1"/>
  </r>
  <r>
    <x v="11"/>
    <x v="0"/>
    <x v="5"/>
    <x v="8"/>
    <x v="17"/>
    <n v="777"/>
    <n v="1997"/>
    <s v="2.0x1.1"/>
    <n v="1.84"/>
    <n v="3200"/>
    <n v="1739.1304347826085"/>
    <n v="220"/>
    <x v="370"/>
    <n v="4.4402173913043477"/>
    <n v="5.1062500000000002"/>
    <d v="2011-10-31T00:00:00"/>
    <x v="21"/>
    <n v="3.27"/>
    <n v="7"/>
  </r>
  <r>
    <x v="12"/>
    <x v="0"/>
    <x v="5"/>
    <x v="8"/>
    <x v="17"/>
    <n v="777"/>
    <n v="1997"/>
    <s v="2.0x1.1"/>
    <n v="1.84"/>
    <n v="3200"/>
    <n v="1739.1304347826085"/>
    <n v="160"/>
    <x v="360"/>
    <n v="2.7228260869565215"/>
    <n v="3.1312500000000001"/>
    <d v="2012-10-19T00:00:00"/>
    <x v="9"/>
    <n v="3.57"/>
    <n v="5.21"/>
  </r>
  <r>
    <x v="13"/>
    <x v="1"/>
    <x v="1"/>
    <x v="1"/>
    <x v="1"/>
    <m/>
    <m/>
    <m/>
    <m/>
    <m/>
    <m/>
    <m/>
    <x v="13"/>
    <m/>
    <m/>
    <m/>
    <x v="10"/>
    <m/>
    <m/>
  </r>
  <r>
    <x v="12"/>
    <x v="0"/>
    <x v="2"/>
    <x v="4"/>
    <x v="18"/>
    <m/>
    <m/>
    <m/>
    <m/>
    <m/>
    <m/>
    <n v="250"/>
    <x v="203"/>
    <m/>
    <m/>
    <d v="2012-10-20T00:00:00"/>
    <x v="2"/>
    <n v="3.6"/>
    <n v="6.09"/>
  </r>
  <r>
    <x v="13"/>
    <x v="1"/>
    <x v="1"/>
    <x v="1"/>
    <x v="1"/>
    <m/>
    <m/>
    <m/>
    <m/>
    <m/>
    <m/>
    <m/>
    <x v="13"/>
    <m/>
    <m/>
    <m/>
    <x v="10"/>
    <m/>
    <m/>
  </r>
  <r>
    <x v="0"/>
    <x v="2"/>
    <x v="0"/>
    <x v="8"/>
    <x v="19"/>
    <m/>
    <m/>
    <s v="7'x11'"/>
    <n v="0.25"/>
    <n v="260"/>
    <m/>
    <m/>
    <x v="371"/>
    <n v="2.8980000000000001"/>
    <n v="5.5730769230769228"/>
    <d v="2003-10-19T00:00:00"/>
    <x v="62"/>
    <n v="3.25"/>
    <n v="9.3000000000000007"/>
  </r>
  <r>
    <x v="1"/>
    <x v="2"/>
    <x v="0"/>
    <x v="8"/>
    <x v="19"/>
    <m/>
    <m/>
    <s v="7'x11'"/>
    <n v="0.25"/>
    <n v="260"/>
    <m/>
    <n v="142"/>
    <x v="372"/>
    <n v="3.96"/>
    <n v="7.615384615384615"/>
    <d v="2003-10-04T00:00:00"/>
    <x v="43"/>
    <n v="3.15"/>
    <n v="10.1"/>
  </r>
  <r>
    <x v="2"/>
    <x v="2"/>
    <x v="0"/>
    <x v="8"/>
    <x v="19"/>
    <m/>
    <m/>
    <s v="7'x11'"/>
    <n v="0.25"/>
    <n v="260"/>
    <m/>
    <m/>
    <x v="373"/>
    <n v="4.72"/>
    <n v="9.0769230769230766"/>
    <d v="2003-10-07T00:00:00"/>
    <x v="88"/>
    <n v="3.13"/>
    <n v="10.199999999999999"/>
  </r>
  <r>
    <x v="3"/>
    <x v="2"/>
    <x v="0"/>
    <x v="8"/>
    <x v="19"/>
    <m/>
    <m/>
    <s v="7'x11'"/>
    <n v="0.25"/>
    <n v="260"/>
    <m/>
    <m/>
    <x v="374"/>
    <n v="2.4"/>
    <n v="4.615384615384615"/>
    <m/>
    <x v="10"/>
    <m/>
    <m/>
  </r>
  <r>
    <x v="4"/>
    <x v="2"/>
    <x v="0"/>
    <x v="8"/>
    <x v="19"/>
    <m/>
    <m/>
    <s v="7'x11'"/>
    <n v="0.25"/>
    <n v="260"/>
    <m/>
    <n v="140"/>
    <x v="375"/>
    <n v="3.2"/>
    <n v="6.1538461538461542"/>
    <d v="2004-09-26T00:00:00"/>
    <x v="44"/>
    <n v="3.12"/>
    <n v="10.6"/>
  </r>
  <r>
    <x v="5"/>
    <x v="2"/>
    <x v="0"/>
    <x v="8"/>
    <x v="19"/>
    <m/>
    <m/>
    <s v="7'x11'"/>
    <n v="0.25"/>
    <n v="260"/>
    <m/>
    <n v="145"/>
    <x v="219"/>
    <n v="3.6"/>
    <n v="6.9230769230769234"/>
    <d v="2005-10-09T00:00:00"/>
    <x v="15"/>
    <n v="3.15"/>
    <n v="8.1"/>
  </r>
  <r>
    <x v="6"/>
    <x v="2"/>
    <x v="0"/>
    <x v="8"/>
    <x v="19"/>
    <m/>
    <m/>
    <s v="7'x11'"/>
    <n v="0.25"/>
    <n v="260"/>
    <m/>
    <n v="155"/>
    <x v="375"/>
    <n v="3.2"/>
    <n v="6.1538461538461542"/>
    <d v="2006-10-01T00:00:00"/>
    <x v="98"/>
    <n v="3.16"/>
    <n v="8.5"/>
  </r>
  <r>
    <x v="13"/>
    <x v="1"/>
    <x v="1"/>
    <x v="1"/>
    <x v="1"/>
    <m/>
    <m/>
    <m/>
    <m/>
    <m/>
    <m/>
    <m/>
    <x v="13"/>
    <m/>
    <m/>
    <m/>
    <x v="10"/>
    <m/>
    <m/>
  </r>
  <r>
    <x v="0"/>
    <x v="2"/>
    <x v="0"/>
    <x v="3"/>
    <x v="14"/>
    <s v="NY"/>
    <s v="78/79"/>
    <s v="7'x11'"/>
    <n v="10"/>
    <n v="4600"/>
    <n v="460"/>
    <n v="110"/>
    <x v="376"/>
    <n v="3.11625"/>
    <n v="13.548913043478262"/>
    <d v="2002-10-16T00:00:00"/>
    <x v="12"/>
    <n v="3.2"/>
    <n v="12.5"/>
  </r>
  <r>
    <x v="1"/>
    <x v="2"/>
    <x v="0"/>
    <x v="3"/>
    <x v="14"/>
    <s v="NY"/>
    <s v="78/79"/>
    <s v="7'x11'"/>
    <n v="10"/>
    <n v="4600"/>
    <n v="460"/>
    <n v="121"/>
    <x v="377"/>
    <n v="3.7201999999999997"/>
    <n v="16.174782608695651"/>
    <d v="2001-10-01T00:00:00"/>
    <x v="3"/>
    <n v="3.39"/>
    <n v="9.4"/>
  </r>
  <r>
    <x v="2"/>
    <x v="2"/>
    <x v="0"/>
    <x v="3"/>
    <x v="14"/>
    <s v="NY"/>
    <s v="78/79"/>
    <s v="7'x11'"/>
    <n v="10"/>
    <n v="4600"/>
    <n v="460"/>
    <n v="114"/>
    <x v="378"/>
    <n v="2.5030000000000001"/>
    <n v="10.882608695652173"/>
    <d v="2003-10-07T00:00:00"/>
    <x v="78"/>
    <n v="3.4"/>
    <n v="10.199999999999999"/>
  </r>
  <r>
    <x v="3"/>
    <x v="2"/>
    <x v="0"/>
    <x v="3"/>
    <x v="14"/>
    <s v="NY"/>
    <s v="78/79"/>
    <s v="7'x11'"/>
    <n v="10"/>
    <n v="4600"/>
    <n v="460"/>
    <n v="135"/>
    <x v="379"/>
    <n v="3.8299999999999996"/>
    <n v="16.652173913043477"/>
    <d v="2003-10-04T00:00:00"/>
    <x v="92"/>
    <n v="3.62"/>
    <n v="8.6999999999999993"/>
  </r>
  <r>
    <x v="4"/>
    <x v="2"/>
    <x v="0"/>
    <x v="3"/>
    <x v="14"/>
    <s v="NY"/>
    <s v="78/79"/>
    <s v="7'x11'"/>
    <n v="10"/>
    <n v="4600"/>
    <n v="460"/>
    <n v="100"/>
    <x v="380"/>
    <n v="3.9200000000000004"/>
    <n v="17.043478260869566"/>
    <d v="2004-09-25T00:00:00"/>
    <x v="5"/>
    <n v="3.47"/>
    <n v="9.3000000000000007"/>
  </r>
  <r>
    <x v="5"/>
    <x v="2"/>
    <x v="0"/>
    <x v="3"/>
    <x v="14"/>
    <s v="NY"/>
    <s v="78/79"/>
    <s v="7'x11'"/>
    <n v="10"/>
    <n v="4600"/>
    <n v="460"/>
    <n v="102"/>
    <x v="381"/>
    <n v="4.1899999999999995"/>
    <n v="18.217391304347824"/>
    <d v="2005-10-09T00:00:00"/>
    <x v="3"/>
    <n v="3.58"/>
    <n v="7.8"/>
  </r>
  <r>
    <x v="6"/>
    <x v="2"/>
    <x v="0"/>
    <x v="3"/>
    <x v="14"/>
    <s v="NY"/>
    <s v="78/79"/>
    <s v="7'x11'"/>
    <n v="10"/>
    <n v="4600"/>
    <n v="460"/>
    <n v="80"/>
    <x v="13"/>
    <m/>
    <n v="0"/>
    <d v="2006-10-01T00:00:00"/>
    <x v="79"/>
    <n v="3.6"/>
    <n v="7.2"/>
  </r>
  <r>
    <x v="7"/>
    <x v="2"/>
    <x v="0"/>
    <x v="3"/>
    <x v="14"/>
    <s v="NY"/>
    <s v="78/79"/>
    <s v="7'x11'"/>
    <n v="10"/>
    <n v="4600"/>
    <n v="460"/>
    <n v="80"/>
    <x v="382"/>
    <n v="3.81"/>
    <n v="16.565217391304348"/>
    <d v="2006-10-01T00:00:00"/>
    <x v="75"/>
    <n v="3.72"/>
    <n v="7.4"/>
  </r>
  <r>
    <x v="8"/>
    <x v="2"/>
    <x v="0"/>
    <x v="3"/>
    <x v="14"/>
    <s v="NY"/>
    <s v="78/79"/>
    <s v="7'x11'"/>
    <n v="10"/>
    <n v="4600"/>
    <n v="460"/>
    <n v="105"/>
    <x v="70"/>
    <n v="1.3199999999999998"/>
    <n v="5.7391304347826084"/>
    <d v="2008-10-06T00:00:00"/>
    <x v="23"/>
    <n v="3.76"/>
    <n v="11.2"/>
  </r>
  <r>
    <x v="9"/>
    <x v="2"/>
    <x v="0"/>
    <x v="3"/>
    <x v="14"/>
    <s v="NY"/>
    <s v="78/79"/>
    <s v="7'x11'"/>
    <n v="10"/>
    <n v="4600"/>
    <n v="460"/>
    <n v="80"/>
    <x v="13"/>
    <n v="0"/>
    <n v="0"/>
    <m/>
    <x v="10"/>
    <m/>
    <m/>
  </r>
  <r>
    <x v="10"/>
    <x v="2"/>
    <x v="0"/>
    <x v="3"/>
    <x v="14"/>
    <s v="NY"/>
    <s v="78/79"/>
    <s v="7'x11'"/>
    <n v="10"/>
    <n v="4600"/>
    <n v="460"/>
    <m/>
    <x v="13"/>
    <n v="0"/>
    <n v="0"/>
    <m/>
    <x v="10"/>
    <m/>
    <m/>
  </r>
  <r>
    <x v="11"/>
    <x v="2"/>
    <x v="0"/>
    <x v="3"/>
    <x v="14"/>
    <s v="NY"/>
    <s v="78/79"/>
    <s v="7'x11'"/>
    <n v="10"/>
    <n v="4600"/>
    <n v="460"/>
    <m/>
    <x v="13"/>
    <n v="0"/>
    <n v="0"/>
    <m/>
    <x v="10"/>
    <m/>
    <m/>
  </r>
  <r>
    <x v="12"/>
    <x v="2"/>
    <x v="0"/>
    <x v="3"/>
    <x v="14"/>
    <s v="NY"/>
    <s v="78/79"/>
    <s v="7'x11'"/>
    <n v="10"/>
    <n v="4600"/>
    <n v="460"/>
    <m/>
    <x v="13"/>
    <n v="0"/>
    <n v="0"/>
    <m/>
    <x v="10"/>
    <m/>
    <m/>
  </r>
  <r>
    <x v="13"/>
    <x v="1"/>
    <x v="1"/>
    <x v="1"/>
    <x v="1"/>
    <m/>
    <m/>
    <m/>
    <m/>
    <m/>
    <m/>
    <m/>
    <x v="13"/>
    <m/>
    <m/>
    <m/>
    <x v="10"/>
    <m/>
    <m/>
  </r>
  <r>
    <x v="8"/>
    <x v="2"/>
    <x v="0"/>
    <x v="0"/>
    <x v="18"/>
    <n v="174"/>
    <n v="2006"/>
    <s v="2.1x1.6"/>
    <n v="1.6"/>
    <n v="1748"/>
    <n v="1748"/>
    <n v="320"/>
    <x v="197"/>
    <n v="2.25"/>
    <n v="4.1189931350114417"/>
    <d v="2008-10-06T00:00:00"/>
    <x v="37"/>
    <n v="3.28"/>
    <n v="9.43"/>
  </r>
  <r>
    <x v="9"/>
    <x v="2"/>
    <x v="0"/>
    <x v="0"/>
    <x v="18"/>
    <n v="174"/>
    <n v="2006"/>
    <s v="2.1x1.6"/>
    <n v="1.6"/>
    <n v="1748"/>
    <n v="1748"/>
    <m/>
    <x v="216"/>
    <n v="0.6875"/>
    <n v="1.2585812356979404"/>
    <d v="2009-10-04T00:00:00"/>
    <x v="3"/>
    <n v="3.74"/>
    <n v="9.6999999999999993"/>
  </r>
  <r>
    <x v="10"/>
    <x v="2"/>
    <x v="0"/>
    <x v="0"/>
    <x v="18"/>
    <n v="174"/>
    <n v="2006"/>
    <s v="2.1x1.6"/>
    <n v="1.6"/>
    <n v="1748"/>
    <n v="1748"/>
    <n v="200"/>
    <x v="320"/>
    <n v="1.625"/>
    <n v="2.9748283752860414"/>
    <d v="2010-10-10T00:00:00"/>
    <x v="13"/>
    <n v="3.13"/>
    <n v="13.7"/>
  </r>
  <r>
    <x v="11"/>
    <x v="2"/>
    <x v="0"/>
    <x v="0"/>
    <x v="18"/>
    <n v="174"/>
    <n v="2006"/>
    <s v="2.1x1.6"/>
    <n v="1.6"/>
    <n v="1748"/>
    <n v="1748"/>
    <n v="295"/>
    <x v="383"/>
    <n v="1.9312499999999999"/>
    <n v="3.5354691075514872"/>
    <d v="2011-10-09T00:00:00"/>
    <x v="10"/>
    <m/>
    <m/>
  </r>
  <r>
    <x v="12"/>
    <x v="2"/>
    <x v="0"/>
    <x v="0"/>
    <x v="18"/>
    <n v="174"/>
    <n v="2006"/>
    <s v="2.1x1.6"/>
    <n v="1.6"/>
    <n v="1748"/>
    <n v="1748"/>
    <n v="290"/>
    <x v="384"/>
    <n v="1.9124999999999999"/>
    <n v="3.5011441647597255"/>
    <d v="2012-10-20T00:00:00"/>
    <x v="12"/>
    <n v="3.48"/>
    <n v="7.43"/>
  </r>
  <r>
    <x v="13"/>
    <x v="1"/>
    <x v="1"/>
    <x v="1"/>
    <x v="1"/>
    <m/>
    <m/>
    <m/>
    <m/>
    <m/>
    <m/>
    <m/>
    <x v="13"/>
    <m/>
    <m/>
    <m/>
    <x v="10"/>
    <m/>
    <m/>
  </r>
  <r>
    <x v="8"/>
    <x v="2"/>
    <x v="0"/>
    <x v="5"/>
    <x v="3"/>
    <n v="220"/>
    <n v="2006"/>
    <s v="2.1x1.2"/>
    <n v="1.65"/>
    <n v="4061"/>
    <n v="975"/>
    <n v="345"/>
    <x v="56"/>
    <n v="6.9090909090909101"/>
    <n v="5.6143806944102437"/>
    <d v="2008-10-06T00:00:00"/>
    <x v="49"/>
    <n v="3.28"/>
    <n v="10.43"/>
  </r>
  <r>
    <x v="9"/>
    <x v="2"/>
    <x v="0"/>
    <x v="5"/>
    <x v="3"/>
    <n v="220"/>
    <n v="2006"/>
    <s v="2.1x1.2"/>
    <n v="1.65"/>
    <n v="4061"/>
    <n v="975"/>
    <n v="315"/>
    <x v="282"/>
    <n v="5.3939393939393945"/>
    <n v="4.3831568579167692"/>
    <d v="2009-10-04T00:00:00"/>
    <x v="9"/>
    <n v="3.47"/>
    <n v="7.1"/>
  </r>
  <r>
    <x v="10"/>
    <x v="2"/>
    <x v="0"/>
    <x v="5"/>
    <x v="3"/>
    <n v="220"/>
    <n v="2006"/>
    <s v="2.1x1.2"/>
    <n v="1.65"/>
    <n v="4061"/>
    <n v="975"/>
    <n v="280"/>
    <x v="385"/>
    <n v="9.3939393939393945"/>
    <n v="7.6335877862595423"/>
    <d v="2010-10-10T00:00:00"/>
    <x v="99"/>
    <n v="3.13"/>
    <n v="12.4"/>
  </r>
  <r>
    <x v="11"/>
    <x v="2"/>
    <x v="0"/>
    <x v="5"/>
    <x v="3"/>
    <n v="220"/>
    <n v="2006"/>
    <s v="2.1x1.2"/>
    <n v="1.65"/>
    <n v="4061"/>
    <n v="975"/>
    <n v="277"/>
    <x v="386"/>
    <n v="8.0121212121212135"/>
    <n v="6.5107116473774935"/>
    <d v="2011-10-08T00:00:00"/>
    <x v="10"/>
    <m/>
    <m/>
  </r>
  <r>
    <x v="11"/>
    <x v="2"/>
    <x v="0"/>
    <x v="5"/>
    <x v="3"/>
    <n v="220"/>
    <n v="2006"/>
    <s v="2.1x1.2"/>
    <n v="1.65"/>
    <n v="4061"/>
    <n v="975"/>
    <n v="215"/>
    <x v="387"/>
    <n v="8.2060606060606052"/>
    <n v="6.6683082984486584"/>
    <d v="2012-10-20T00:00:00"/>
    <x v="21"/>
    <n v="3.35"/>
    <n v="10"/>
  </r>
  <r>
    <x v="13"/>
    <x v="1"/>
    <x v="1"/>
    <x v="1"/>
    <x v="1"/>
    <m/>
    <m/>
    <m/>
    <m/>
    <m/>
    <m/>
    <m/>
    <x v="13"/>
    <m/>
    <m/>
    <m/>
    <x v="10"/>
    <m/>
    <m/>
  </r>
  <r>
    <x v="8"/>
    <x v="2"/>
    <x v="0"/>
    <x v="2"/>
    <x v="14"/>
    <s v="NY"/>
    <n v="2006"/>
    <s v="2.1x1.1"/>
    <n v="2.95"/>
    <n v="2926"/>
    <n v="975"/>
    <n v="105"/>
    <x v="70"/>
    <n v="4.4745762711864403"/>
    <n v="9.022556390977444"/>
    <d v="2008-10-06T00:00:00"/>
    <x v="23"/>
    <n v="3.66"/>
    <n v="11.25"/>
  </r>
  <r>
    <x v="9"/>
    <x v="2"/>
    <x v="0"/>
    <x v="2"/>
    <x v="14"/>
    <s v="NY"/>
    <n v="2006"/>
    <s v="2.1x1.1"/>
    <n v="2.95"/>
    <n v="2926"/>
    <n v="975"/>
    <n v="245"/>
    <x v="388"/>
    <n v="14.169491525423727"/>
    <n v="28.571428571428573"/>
    <d v="2009-10-04T00:00:00"/>
    <x v="87"/>
    <n v="3.98"/>
    <n v="7.4"/>
  </r>
  <r>
    <x v="10"/>
    <x v="2"/>
    <x v="0"/>
    <x v="2"/>
    <x v="14"/>
    <s v="NY"/>
    <n v="2006"/>
    <s v="2.1x1.1"/>
    <n v="2.95"/>
    <n v="2926"/>
    <n v="975"/>
    <n v="80"/>
    <x v="389"/>
    <n v="10.067796610169491"/>
    <n v="20.300751879699249"/>
    <d v="2010-10-10T00:00:00"/>
    <x v="79"/>
    <n v="3.59"/>
    <n v="8.9"/>
  </r>
  <r>
    <x v="11"/>
    <x v="2"/>
    <x v="0"/>
    <x v="2"/>
    <x v="14"/>
    <s v="NY"/>
    <n v="2006"/>
    <s v="2.1x1.1"/>
    <n v="2.95"/>
    <n v="2926"/>
    <n v="975"/>
    <m/>
    <x v="13"/>
    <n v="0"/>
    <n v="0"/>
    <m/>
    <x v="10"/>
    <m/>
    <m/>
  </r>
  <r>
    <x v="12"/>
    <x v="2"/>
    <x v="0"/>
    <x v="2"/>
    <x v="14"/>
    <s v="NY"/>
    <n v="2006"/>
    <s v="2.1x1.1"/>
    <n v="2.95"/>
    <n v="2926"/>
    <n v="975"/>
    <m/>
    <x v="13"/>
    <n v="0"/>
    <n v="0"/>
    <m/>
    <x v="10"/>
    <m/>
    <m/>
  </r>
  <r>
    <x v="13"/>
    <x v="1"/>
    <x v="1"/>
    <x v="1"/>
    <x v="1"/>
    <m/>
    <m/>
    <m/>
    <m/>
    <m/>
    <m/>
    <m/>
    <x v="13"/>
    <m/>
    <m/>
    <m/>
    <x v="10"/>
    <m/>
    <m/>
  </r>
  <r>
    <x v="8"/>
    <x v="2"/>
    <x v="0"/>
    <x v="4"/>
    <x v="14"/>
    <s v="NY"/>
    <n v="2006"/>
    <s v="2.9x1.4"/>
    <n v="0.2"/>
    <n v="300"/>
    <n v="1500"/>
    <n v="130"/>
    <x v="70"/>
    <n v="65.999999999999986"/>
    <n v="88"/>
    <d v="2008-10-06T00:00:00"/>
    <x v="3"/>
    <n v="3.78"/>
    <n v="11.4"/>
  </r>
  <r>
    <x v="9"/>
    <x v="2"/>
    <x v="0"/>
    <x v="4"/>
    <x v="14"/>
    <s v="NY"/>
    <n v="2006"/>
    <s v="2.9x1.4"/>
    <n v="0.2"/>
    <n v="300"/>
    <n v="1500"/>
    <m/>
    <x v="13"/>
    <n v="0"/>
    <n v="0"/>
    <m/>
    <x v="10"/>
    <m/>
    <m/>
  </r>
  <r>
    <x v="10"/>
    <x v="2"/>
    <x v="0"/>
    <x v="4"/>
    <x v="14"/>
    <s v="NY"/>
    <n v="2006"/>
    <s v="2.9x1.4"/>
    <n v="0.2"/>
    <n v="300"/>
    <n v="1500"/>
    <m/>
    <x v="13"/>
    <n v="0"/>
    <n v="0"/>
    <m/>
    <x v="10"/>
    <m/>
    <m/>
  </r>
  <r>
    <x v="11"/>
    <x v="2"/>
    <x v="0"/>
    <x v="4"/>
    <x v="14"/>
    <s v="NY"/>
    <n v="2006"/>
    <s v="2.9x1.4"/>
    <n v="0.2"/>
    <n v="300"/>
    <n v="1500"/>
    <n v="155"/>
    <x v="390"/>
    <n v="403.34999999999997"/>
    <n v="537.79999999999995"/>
    <d v="2011-10-08T00:00:00"/>
    <x v="10"/>
    <m/>
    <m/>
  </r>
  <r>
    <x v="12"/>
    <x v="2"/>
    <x v="0"/>
    <x v="4"/>
    <x v="14"/>
    <s v="NY"/>
    <n v="2006"/>
    <s v="2.9x1.4"/>
    <n v="0.2"/>
    <n v="300"/>
    <n v="1500"/>
    <n v="100"/>
    <x v="391"/>
    <n v="239.34999999999997"/>
    <n v="319.13333333333333"/>
    <d v="2012-10-01T00:00:00"/>
    <x v="100"/>
    <n v="3.6850000000000001"/>
    <n v="8.1750000000000007"/>
  </r>
  <r>
    <x v="13"/>
    <x v="1"/>
    <x v="1"/>
    <x v="1"/>
    <x v="1"/>
    <m/>
    <m/>
    <m/>
    <m/>
    <m/>
    <m/>
    <m/>
    <x v="13"/>
    <m/>
    <m/>
    <m/>
    <x v="10"/>
    <m/>
    <m/>
  </r>
  <r>
    <x v="0"/>
    <x v="3"/>
    <x v="0"/>
    <x v="4"/>
    <x v="4"/>
    <n v="47"/>
    <n v="1998"/>
    <s v="7.5'x4'"/>
    <n v="3.1"/>
    <n v="4221"/>
    <n v="1361.6129032258063"/>
    <m/>
    <x v="392"/>
    <n v="0.89193548387096777"/>
    <n v="1.3101160862354893"/>
    <d v="2001-10-11T00:00:00"/>
    <x v="31"/>
    <n v="3.31"/>
    <n v="8.9"/>
  </r>
  <r>
    <x v="1"/>
    <x v="3"/>
    <x v="0"/>
    <x v="4"/>
    <x v="4"/>
    <n v="47"/>
    <n v="1998"/>
    <s v="7.5'x4'"/>
    <n v="3.1"/>
    <n v="4221"/>
    <n v="1361.6129032258063"/>
    <m/>
    <x v="393"/>
    <n v="4.6856451612903225"/>
    <n v="6.8824923004027481"/>
    <d v="2001-10-23T00:00:00"/>
    <x v="62"/>
    <n v="3.31"/>
    <n v="7.8"/>
  </r>
  <r>
    <x v="2"/>
    <x v="3"/>
    <x v="0"/>
    <x v="4"/>
    <x v="4"/>
    <n v="47"/>
    <n v="1998"/>
    <s v="7.5'x4'"/>
    <n v="3.1"/>
    <n v="4221"/>
    <n v="1361.6129032258063"/>
    <n v="145"/>
    <x v="394"/>
    <n v="3.9258064516129032"/>
    <n v="5.7664060649135278"/>
    <d v="2002-10-16T00:00:00"/>
    <x v="6"/>
    <n v="3.68"/>
    <n v="5.7"/>
  </r>
  <r>
    <x v="3"/>
    <x v="3"/>
    <x v="0"/>
    <x v="4"/>
    <x v="4"/>
    <n v="47"/>
    <n v="1998"/>
    <s v="7.5'x4'"/>
    <n v="3.1"/>
    <n v="4221"/>
    <n v="1361.6129032258063"/>
    <n v="173"/>
    <x v="395"/>
    <n v="3.3870967741935485"/>
    <n v="4.9751243781094523"/>
    <d v="2003-10-16T00:00:00"/>
    <x v="9"/>
    <n v="3.87"/>
    <n v="4"/>
  </r>
  <r>
    <x v="4"/>
    <x v="3"/>
    <x v="0"/>
    <x v="4"/>
    <x v="4"/>
    <n v="47"/>
    <n v="1998"/>
    <s v="7.5'x4'"/>
    <n v="3.1"/>
    <n v="4221"/>
    <n v="1361.6129032258063"/>
    <n v="115"/>
    <x v="396"/>
    <n v="2.9354838709677415"/>
    <n v="4.3117744610281923"/>
    <d v="2004-10-19T00:00:00"/>
    <x v="23"/>
    <n v="3.87"/>
    <n v="5.3"/>
  </r>
  <r>
    <x v="5"/>
    <x v="3"/>
    <x v="0"/>
    <x v="4"/>
    <x v="4"/>
    <n v="47"/>
    <n v="1998"/>
    <s v="7.5'x4'"/>
    <n v="3.1"/>
    <n v="4221"/>
    <n v="1361.6129032258063"/>
    <n v="158"/>
    <x v="197"/>
    <n v="1.1612903225806452"/>
    <n v="1.7057569296375266"/>
    <d v="2005-10-15T00:00:00"/>
    <x v="26"/>
    <n v="3.31"/>
    <n v="6.6"/>
  </r>
  <r>
    <x v="6"/>
    <x v="3"/>
    <x v="0"/>
    <x v="4"/>
    <x v="4"/>
    <n v="47"/>
    <n v="1998"/>
    <s v="7.5'x4'"/>
    <n v="3.1"/>
    <n v="4221"/>
    <n v="1361.6129032258063"/>
    <n v="135"/>
    <x v="397"/>
    <n v="6.0967741935483861"/>
    <n v="8.9552238805970141"/>
    <d v="2006-10-18T00:00:00"/>
    <x v="19"/>
    <n v="3.61"/>
    <n v="5.3"/>
  </r>
  <r>
    <x v="7"/>
    <x v="3"/>
    <x v="0"/>
    <x v="4"/>
    <x v="4"/>
    <n v="47"/>
    <n v="1998"/>
    <s v="7.5'x4'"/>
    <n v="3.1"/>
    <n v="4221"/>
    <n v="1361.6129032258063"/>
    <n v="142.5"/>
    <x v="299"/>
    <n v="0.70967741935483875"/>
    <n v="1.0424070125562663"/>
    <d v="2007-10-12T00:00:00"/>
    <x v="19"/>
    <n v="3.45"/>
    <n v="6.9"/>
  </r>
  <r>
    <x v="8"/>
    <x v="3"/>
    <x v="0"/>
    <x v="4"/>
    <x v="4"/>
    <n v="47"/>
    <n v="1998"/>
    <s v="7.5'x4'"/>
    <n v="3.1"/>
    <n v="4221"/>
    <n v="1361.6129032258063"/>
    <n v="140"/>
    <x v="398"/>
    <n v="4.419354838709677"/>
    <n v="6.4913527600094767"/>
    <d v="2008-10-16T00:00:00"/>
    <x v="15"/>
    <n v="3.57"/>
    <n v="7.05"/>
  </r>
  <r>
    <x v="9"/>
    <x v="3"/>
    <x v="0"/>
    <x v="4"/>
    <x v="4"/>
    <n v="47"/>
    <n v="1998"/>
    <s v="7.5'x4'"/>
    <n v="3.1"/>
    <n v="4221"/>
    <n v="1361.6129032258063"/>
    <n v="135"/>
    <x v="399"/>
    <n v="0.5161290322580645"/>
    <n v="0.75811419095001187"/>
    <d v="2009-10-06T00:00:00"/>
    <x v="6"/>
    <n v="3.75"/>
    <n v="5.5"/>
  </r>
  <r>
    <x v="13"/>
    <x v="1"/>
    <x v="1"/>
    <x v="1"/>
    <x v="1"/>
    <m/>
    <m/>
    <m/>
    <m/>
    <m/>
    <m/>
    <m/>
    <x v="13"/>
    <m/>
    <m/>
    <m/>
    <x v="10"/>
    <m/>
    <m/>
  </r>
  <r>
    <x v="0"/>
    <x v="3"/>
    <x v="0"/>
    <x v="0"/>
    <x v="7"/>
    <n v="55"/>
    <n v="1998"/>
    <s v="7.5'x4'"/>
    <n v="2.69"/>
    <n v="3661"/>
    <n v="1360.9665427509294"/>
    <m/>
    <x v="400"/>
    <n v="1.8442379182156134"/>
    <n v="2.7101884730947829"/>
    <d v="2001-10-11T00:00:00"/>
    <x v="38"/>
    <n v="3.05"/>
    <n v="11.4"/>
  </r>
  <r>
    <x v="1"/>
    <x v="3"/>
    <x v="0"/>
    <x v="0"/>
    <x v="7"/>
    <n v="55"/>
    <n v="1998"/>
    <s v="7.5'x4'"/>
    <n v="2.69"/>
    <n v="3661"/>
    <n v="1360.9665427509294"/>
    <m/>
    <x v="401"/>
    <n v="3.8068773234200748"/>
    <n v="5.5943731220977879"/>
    <d v="2001-10-23T00:00:00"/>
    <x v="43"/>
    <n v="3.1"/>
    <n v="11"/>
  </r>
  <r>
    <x v="2"/>
    <x v="3"/>
    <x v="0"/>
    <x v="0"/>
    <x v="7"/>
    <n v="55"/>
    <n v="1998"/>
    <s v="7.5'x4'"/>
    <n v="2.69"/>
    <n v="3661"/>
    <n v="1360.9665427509294"/>
    <n v="219"/>
    <x v="402"/>
    <n v="5.3828996282527886"/>
    <n v="7.9104069926249663"/>
    <d v="2002-10-18T00:00:00"/>
    <x v="62"/>
    <n v="3.29"/>
    <n v="9.1999999999999993"/>
  </r>
  <r>
    <x v="3"/>
    <x v="3"/>
    <x v="0"/>
    <x v="0"/>
    <x v="7"/>
    <n v="55"/>
    <n v="1998"/>
    <s v="7.5'x4'"/>
    <n v="2.69"/>
    <n v="3661"/>
    <n v="1360.9665427509294"/>
    <n v="215"/>
    <x v="403"/>
    <n v="4.7211895910780663"/>
    <n v="6.9379950833105708"/>
    <d v="2003-10-15T00:00:00"/>
    <x v="46"/>
    <n v="3.33"/>
    <n v="6"/>
  </r>
  <r>
    <x v="4"/>
    <x v="3"/>
    <x v="0"/>
    <x v="0"/>
    <x v="7"/>
    <n v="55"/>
    <n v="1998"/>
    <s v="7.5'x4'"/>
    <n v="2.69"/>
    <n v="3661"/>
    <n v="1360.9665427509294"/>
    <n v="180"/>
    <x v="73"/>
    <n v="3.6059479553903344"/>
    <n v="5.2990986069379948"/>
    <d v="2004-10-18T00:00:00"/>
    <x v="4"/>
    <n v="3.41"/>
    <n v="7.7"/>
  </r>
  <r>
    <x v="5"/>
    <x v="3"/>
    <x v="0"/>
    <x v="0"/>
    <x v="7"/>
    <n v="55"/>
    <n v="1998"/>
    <s v="7.5'x4'"/>
    <n v="2.69"/>
    <n v="3661"/>
    <n v="1360.9665427509294"/>
    <n v="155"/>
    <x v="352"/>
    <n v="2.0074349442379185"/>
    <n v="2.9500136574706364"/>
    <d v="2005-10-14T00:00:00"/>
    <x v="21"/>
    <n v="3.21"/>
    <n v="7.7"/>
  </r>
  <r>
    <x v="6"/>
    <x v="3"/>
    <x v="0"/>
    <x v="0"/>
    <x v="7"/>
    <n v="55"/>
    <n v="1998"/>
    <s v="7.5'x4'"/>
    <n v="2.69"/>
    <n v="3661"/>
    <n v="1360.9665427509294"/>
    <n v="175"/>
    <x v="304"/>
    <n v="6.988847583643123"/>
    <n v="10.270417918601474"/>
    <d v="2006-10-17T00:00:00"/>
    <x v="101"/>
    <n v="3.3"/>
    <n v="7.6"/>
  </r>
  <r>
    <x v="7"/>
    <x v="3"/>
    <x v="0"/>
    <x v="0"/>
    <x v="7"/>
    <n v="55"/>
    <n v="1998"/>
    <s v="7.5'x4'"/>
    <n v="2.69"/>
    <n v="3661"/>
    <n v="1360.9665427509294"/>
    <m/>
    <x v="404"/>
    <n v="0.13011152416356878"/>
    <n v="0.19120458891013384"/>
    <d v="2007-10-20T00:00:00"/>
    <x v="10"/>
    <m/>
    <m/>
  </r>
  <r>
    <x v="8"/>
    <x v="3"/>
    <x v="0"/>
    <x v="0"/>
    <x v="7"/>
    <n v="55"/>
    <n v="1998"/>
    <s v="7.5'x4'"/>
    <n v="2.69"/>
    <n v="3661"/>
    <n v="1360.9665427509294"/>
    <n v="237"/>
    <x v="315"/>
    <n v="4.8327137546468402"/>
    <n v="7.1018847309478286"/>
    <d v="2008-10-17T00:00:00"/>
    <x v="36"/>
    <n v="3.27"/>
    <n v="11.3"/>
  </r>
  <r>
    <x v="9"/>
    <x v="3"/>
    <x v="0"/>
    <x v="0"/>
    <x v="7"/>
    <n v="55"/>
    <n v="1998"/>
    <s v="7.5'x4'"/>
    <n v="2.69"/>
    <n v="3661"/>
    <n v="1360.9665427509294"/>
    <n v="245"/>
    <x v="212"/>
    <n v="0.11152416356877323"/>
    <n v="0.16388964763725758"/>
    <d v="2009-10-07T00:00:00"/>
    <x v="63"/>
    <n v="3.69"/>
    <n v="5.7"/>
  </r>
  <r>
    <x v="13"/>
    <x v="1"/>
    <x v="1"/>
    <x v="1"/>
    <x v="1"/>
    <m/>
    <m/>
    <m/>
    <m/>
    <m/>
    <m/>
    <m/>
    <x v="13"/>
    <m/>
    <m/>
    <m/>
    <x v="10"/>
    <m/>
    <m/>
  </r>
  <r>
    <x v="8"/>
    <x v="4"/>
    <x v="0"/>
    <x v="15"/>
    <x v="4"/>
    <s v="47/643"/>
    <n v="2006"/>
    <s v="2.1x1.1"/>
    <n v="9.11"/>
    <n v="17000"/>
    <n v="1866.0812294182219"/>
    <n v="142"/>
    <x v="405"/>
    <n v="3.1723380900109768"/>
    <n v="3.4"/>
    <d v="2008-10-14T00:00:00"/>
    <x v="17"/>
    <n v="3.61"/>
    <n v="6.45"/>
  </r>
  <r>
    <x v="9"/>
    <x v="4"/>
    <x v="0"/>
    <x v="15"/>
    <x v="4"/>
    <s v="47/643"/>
    <n v="2006"/>
    <s v="2.1x1.1"/>
    <n v="9.11"/>
    <n v="17000"/>
    <n v="1866.0812294182219"/>
    <m/>
    <x v="13"/>
    <m/>
    <m/>
    <m/>
    <x v="10"/>
    <m/>
    <m/>
  </r>
  <r>
    <x v="10"/>
    <x v="4"/>
    <x v="0"/>
    <x v="15"/>
    <x v="4"/>
    <s v="47/643"/>
    <n v="2006"/>
    <s v="2.1x1.1"/>
    <n v="9.11"/>
    <n v="17000"/>
    <n v="1866.0812294182219"/>
    <n v="150"/>
    <x v="42"/>
    <n v="1.2843029637760703"/>
    <n v="1.3764705882352941"/>
    <d v="2010-10-14T00:00:00"/>
    <x v="1"/>
    <n v="3.52"/>
    <n v="8.6"/>
  </r>
  <r>
    <x v="11"/>
    <x v="4"/>
    <x v="0"/>
    <x v="15"/>
    <x v="4"/>
    <s v="47/643"/>
    <n v="2006"/>
    <s v="2.1x1.1"/>
    <n v="9.11"/>
    <n v="17000"/>
    <n v="1866.0812294182219"/>
    <n v="200"/>
    <x v="406"/>
    <n v="1.7069154774972559"/>
    <n v="1.8294117647058823"/>
    <d v="2011-10-28T00:00:00"/>
    <x v="10"/>
    <m/>
    <m/>
  </r>
  <r>
    <x v="12"/>
    <x v="4"/>
    <x v="0"/>
    <x v="15"/>
    <x v="4"/>
    <s v="47/643"/>
    <n v="2006"/>
    <s v="2.1x1.1"/>
    <n v="9.11"/>
    <n v="17000"/>
    <n v="1866.0812294182219"/>
    <n v="125"/>
    <x v="156"/>
    <n v="1.96377607025247"/>
    <n v="2.104705882352941"/>
    <d v="2012-10-09T00:00:00"/>
    <x v="28"/>
    <n v="3.4699999999999998"/>
    <n v="6.85"/>
  </r>
  <r>
    <x v="13"/>
    <x v="1"/>
    <x v="1"/>
    <x v="1"/>
    <x v="1"/>
    <m/>
    <m/>
    <m/>
    <m/>
    <m/>
    <m/>
    <m/>
    <x v="13"/>
    <m/>
    <m/>
    <m/>
    <x v="10"/>
    <m/>
    <m/>
  </r>
  <r>
    <x v="9"/>
    <x v="5"/>
    <x v="1"/>
    <x v="1"/>
    <x v="4"/>
    <m/>
    <m/>
    <m/>
    <m/>
    <m/>
    <m/>
    <m/>
    <x v="361"/>
    <m/>
    <m/>
    <d v="2009-10-11T00:00:00"/>
    <x v="98"/>
    <n v="3.47"/>
    <n v="6.3"/>
  </r>
  <r>
    <x v="13"/>
    <x v="1"/>
    <x v="1"/>
    <x v="1"/>
    <x v="1"/>
    <m/>
    <m/>
    <m/>
    <m/>
    <m/>
    <m/>
    <m/>
    <x v="13"/>
    <m/>
    <m/>
    <m/>
    <x v="10"/>
    <m/>
    <m/>
  </r>
  <r>
    <x v="8"/>
    <x v="6"/>
    <x v="0"/>
    <x v="4"/>
    <x v="20"/>
    <n v="6"/>
    <n v="1984"/>
    <s v="2.7x1.5"/>
    <n v="2.81"/>
    <n v="2755"/>
    <n v="1027"/>
    <m/>
    <x v="407"/>
    <n v="5.7952755905511806"/>
    <n v="12.266666666666667"/>
    <m/>
    <x v="10"/>
    <m/>
    <m/>
  </r>
  <r>
    <x v="9"/>
    <x v="6"/>
    <x v="0"/>
    <x v="4"/>
    <x v="20"/>
    <n v="6"/>
    <n v="1984"/>
    <s v="2.7x1.5"/>
    <n v="2.81"/>
    <n v="2755"/>
    <n v="1027"/>
    <m/>
    <x v="13"/>
    <n v="0"/>
    <n v="0"/>
    <m/>
    <x v="10"/>
    <m/>
    <m/>
  </r>
  <r>
    <x v="10"/>
    <x v="6"/>
    <x v="0"/>
    <x v="4"/>
    <x v="20"/>
    <n v="6"/>
    <n v="1984"/>
    <s v="2.7x1.5"/>
    <n v="2.81"/>
    <n v="2755"/>
    <n v="1027"/>
    <m/>
    <x v="408"/>
    <n v="7.7935943060498216"/>
    <n v="15.898366606170599"/>
    <m/>
    <x v="10"/>
    <m/>
    <m/>
  </r>
  <r>
    <x v="11"/>
    <x v="6"/>
    <x v="0"/>
    <x v="4"/>
    <x v="20"/>
    <n v="6"/>
    <n v="1984"/>
    <s v="2.7x1.5"/>
    <n v="2.81"/>
    <n v="2755"/>
    <n v="1027"/>
    <m/>
    <x v="126"/>
    <n v="3.2321699544764795"/>
    <n v="6.3582089552238807"/>
    <m/>
    <x v="10"/>
    <m/>
    <m/>
  </r>
  <r>
    <x v="12"/>
    <x v="6"/>
    <x v="0"/>
    <x v="4"/>
    <x v="20"/>
    <n v="6"/>
    <n v="1984"/>
    <s v="2.7x1.5"/>
    <n v="2.81"/>
    <n v="2755"/>
    <n v="1027"/>
    <m/>
    <x v="13"/>
    <n v="0"/>
    <n v="0"/>
    <m/>
    <x v="10"/>
    <m/>
    <m/>
  </r>
  <r>
    <x v="13"/>
    <x v="1"/>
    <x v="1"/>
    <x v="1"/>
    <x v="1"/>
    <m/>
    <m/>
    <m/>
    <m/>
    <m/>
    <m/>
    <m/>
    <x v="13"/>
    <m/>
    <m/>
    <m/>
    <x v="10"/>
    <m/>
    <m/>
  </r>
  <r>
    <x v="8"/>
    <x v="6"/>
    <x v="0"/>
    <x v="0"/>
    <x v="20"/>
    <n v="667"/>
    <n v="1977"/>
    <s v="2.7x1.5"/>
    <n v="2.41"/>
    <n v="2500"/>
    <n v="1184"/>
    <m/>
    <x v="13"/>
    <m/>
    <m/>
    <m/>
    <x v="10"/>
    <m/>
    <m/>
  </r>
  <r>
    <x v="9"/>
    <x v="6"/>
    <x v="0"/>
    <x v="0"/>
    <x v="20"/>
    <n v="667"/>
    <n v="1977"/>
    <s v="2.7x1.5"/>
    <n v="2.41"/>
    <n v="2500"/>
    <n v="1184"/>
    <m/>
    <x v="13"/>
    <m/>
    <m/>
    <m/>
    <x v="10"/>
    <m/>
    <m/>
  </r>
  <r>
    <x v="10"/>
    <x v="6"/>
    <x v="0"/>
    <x v="0"/>
    <x v="20"/>
    <n v="667"/>
    <n v="1977"/>
    <s v="2.7x1.5"/>
    <n v="2.41"/>
    <n v="2500"/>
    <n v="1184"/>
    <m/>
    <x v="13"/>
    <m/>
    <m/>
    <m/>
    <x v="10"/>
    <m/>
    <m/>
  </r>
  <r>
    <x v="11"/>
    <x v="6"/>
    <x v="0"/>
    <x v="0"/>
    <x v="20"/>
    <n v="667"/>
    <n v="1977"/>
    <s v="2.7x1.5"/>
    <n v="2.41"/>
    <n v="2500"/>
    <n v="1184"/>
    <m/>
    <x v="13"/>
    <m/>
    <m/>
    <m/>
    <x v="10"/>
    <m/>
    <m/>
  </r>
  <r>
    <x v="12"/>
    <x v="6"/>
    <x v="0"/>
    <x v="0"/>
    <x v="20"/>
    <n v="667"/>
    <n v="1977"/>
    <s v="2.7x1.5"/>
    <n v="2.41"/>
    <n v="2500"/>
    <n v="1184"/>
    <m/>
    <x v="13"/>
    <m/>
    <m/>
    <m/>
    <x v="10"/>
    <m/>
    <m/>
  </r>
  <r>
    <x v="13"/>
    <x v="1"/>
    <x v="1"/>
    <x v="1"/>
    <x v="1"/>
    <m/>
    <m/>
    <m/>
    <m/>
    <m/>
    <m/>
    <m/>
    <x v="13"/>
    <m/>
    <m/>
    <m/>
    <x v="10"/>
    <m/>
    <m/>
  </r>
  <r>
    <x v="8"/>
    <x v="6"/>
    <x v="3"/>
    <x v="2"/>
    <x v="20"/>
    <m/>
    <n v="1977"/>
    <s v="3.3x1.5"/>
    <n v="1.1299999999999999"/>
    <n v="745"/>
    <n v="659"/>
    <m/>
    <x v="13"/>
    <m/>
    <m/>
    <m/>
    <x v="10"/>
    <m/>
    <m/>
  </r>
  <r>
    <x v="9"/>
    <x v="6"/>
    <x v="3"/>
    <x v="2"/>
    <x v="20"/>
    <m/>
    <n v="1977"/>
    <s v="3.3x1.5"/>
    <n v="1.1299999999999999"/>
    <n v="745"/>
    <n v="659"/>
    <m/>
    <x v="13"/>
    <m/>
    <m/>
    <m/>
    <x v="10"/>
    <m/>
    <m/>
  </r>
  <r>
    <x v="10"/>
    <x v="6"/>
    <x v="3"/>
    <x v="2"/>
    <x v="20"/>
    <m/>
    <n v="1977"/>
    <s v="3.3x1.5"/>
    <n v="1.1299999999999999"/>
    <n v="745"/>
    <n v="659"/>
    <m/>
    <x v="13"/>
    <m/>
    <m/>
    <m/>
    <x v="10"/>
    <m/>
    <m/>
  </r>
  <r>
    <x v="11"/>
    <x v="6"/>
    <x v="3"/>
    <x v="2"/>
    <x v="20"/>
    <m/>
    <n v="1977"/>
    <s v="3.3x1.5"/>
    <n v="1.1299999999999999"/>
    <n v="745"/>
    <n v="659"/>
    <m/>
    <x v="13"/>
    <m/>
    <m/>
    <m/>
    <x v="10"/>
    <m/>
    <m/>
  </r>
  <r>
    <x v="12"/>
    <x v="6"/>
    <x v="3"/>
    <x v="2"/>
    <x v="20"/>
    <m/>
    <n v="1977"/>
    <s v="3.3x1.5"/>
    <n v="1.1299999999999999"/>
    <n v="745"/>
    <n v="659"/>
    <m/>
    <x v="13"/>
    <m/>
    <m/>
    <m/>
    <x v="10"/>
    <m/>
    <m/>
  </r>
  <r>
    <x v="13"/>
    <x v="1"/>
    <x v="1"/>
    <x v="1"/>
    <x v="1"/>
    <m/>
    <m/>
    <m/>
    <m/>
    <m/>
    <m/>
    <m/>
    <x v="13"/>
    <m/>
    <m/>
    <m/>
    <x v="10"/>
    <m/>
    <m/>
  </r>
  <r>
    <x v="0"/>
    <x v="6"/>
    <x v="0"/>
    <x v="2"/>
    <x v="17"/>
    <n v="115"/>
    <n v="1998"/>
    <s v="2.7x1.2"/>
    <n v="2.65"/>
    <n v="3200"/>
    <n v="1207.5471698113208"/>
    <m/>
    <x v="409"/>
    <n v="4.530943396226415"/>
    <n v="7.5043749999999996"/>
    <d v="2001-11-01T00:00:00"/>
    <x v="62"/>
    <n v="3.04"/>
    <n v="11.4"/>
  </r>
  <r>
    <x v="1"/>
    <x v="6"/>
    <x v="0"/>
    <x v="2"/>
    <x v="17"/>
    <n v="115"/>
    <n v="1998"/>
    <s v="2.7x1.2"/>
    <n v="2.65"/>
    <n v="3200"/>
    <n v="1207.5471698113208"/>
    <n v="312"/>
    <x v="410"/>
    <n v="3.2037735849056608"/>
    <n v="5.3062500000000004"/>
    <d v="2001-10-29T00:00:00"/>
    <x v="14"/>
    <n v="3.03"/>
    <n v="12.6"/>
  </r>
  <r>
    <x v="2"/>
    <x v="6"/>
    <x v="0"/>
    <x v="2"/>
    <x v="17"/>
    <n v="115"/>
    <n v="1998"/>
    <s v="2.7x1.2"/>
    <n v="2.65"/>
    <n v="3200"/>
    <n v="1207.5471698113208"/>
    <n v="248"/>
    <x v="152"/>
    <n v="2.6415094339622645"/>
    <n v="4.375"/>
    <d v="2002-10-16T00:00:00"/>
    <x v="12"/>
    <n v="3.33"/>
    <n v="9.8000000000000007"/>
  </r>
  <r>
    <x v="3"/>
    <x v="6"/>
    <x v="0"/>
    <x v="2"/>
    <x v="17"/>
    <n v="115"/>
    <n v="1998"/>
    <s v="2.7x1.2"/>
    <n v="2.65"/>
    <n v="3200"/>
    <n v="1207.5471698113208"/>
    <n v="248"/>
    <x v="59"/>
    <n v="3.9245283018867929"/>
    <n v="6.5"/>
    <d v="2003-10-22T00:00:00"/>
    <x v="15"/>
    <n v="3.37"/>
    <n v="8.1"/>
  </r>
  <r>
    <x v="4"/>
    <x v="6"/>
    <x v="0"/>
    <x v="2"/>
    <x v="17"/>
    <n v="115"/>
    <n v="1998"/>
    <s v="2.7x1.2"/>
    <n v="2.65"/>
    <n v="3200"/>
    <n v="1207.5471698113208"/>
    <n v="160"/>
    <x v="240"/>
    <n v="2.2641509433962264"/>
    <n v="3.75"/>
    <d v="2004-10-13T00:00:00"/>
    <x v="63"/>
    <n v="3.26"/>
    <n v="9"/>
  </r>
  <r>
    <x v="5"/>
    <x v="6"/>
    <x v="0"/>
    <x v="2"/>
    <x v="17"/>
    <n v="115"/>
    <n v="1998"/>
    <s v="2.7x1.2"/>
    <n v="2.65"/>
    <n v="3200"/>
    <n v="1207.5471698113208"/>
    <n v="157"/>
    <x v="411"/>
    <n v="3.0566037735849054"/>
    <n v="5.0625"/>
    <d v="2005-10-21T00:00:00"/>
    <x v="22"/>
    <n v="3.42"/>
    <n v="8"/>
  </r>
  <r>
    <x v="6"/>
    <x v="6"/>
    <x v="0"/>
    <x v="2"/>
    <x v="17"/>
    <n v="115"/>
    <n v="1998"/>
    <s v="2.7x1.2"/>
    <n v="2.65"/>
    <n v="3200"/>
    <n v="1207.5471698113208"/>
    <n v="206"/>
    <x v="67"/>
    <n v="4.4528301886792461"/>
    <n v="7.375"/>
    <d v="2006-10-19T00:00:00"/>
    <x v="1"/>
    <n v="3.5"/>
    <n v="8.3000000000000007"/>
  </r>
  <r>
    <x v="7"/>
    <x v="6"/>
    <x v="0"/>
    <x v="2"/>
    <x v="17"/>
    <n v="115"/>
    <n v="1998"/>
    <s v="2.7x1.2"/>
    <n v="2.65"/>
    <n v="3200"/>
    <n v="1207.5471698113208"/>
    <n v="215"/>
    <x v="23"/>
    <n v="4.6037735849056602"/>
    <n v="7.625"/>
    <d v="2007-10-22T00:00:00"/>
    <x v="5"/>
    <n v="3.36"/>
    <n v="10.5"/>
  </r>
  <r>
    <x v="8"/>
    <x v="6"/>
    <x v="0"/>
    <x v="2"/>
    <x v="17"/>
    <n v="115"/>
    <n v="1998"/>
    <s v="2.7x1.2"/>
    <n v="2.65"/>
    <n v="3200"/>
    <n v="1207.5471698113208"/>
    <n v="235"/>
    <x v="136"/>
    <n v="4.716981132075472"/>
    <n v="7.8125"/>
    <d v="2008-10-20T00:00:00"/>
    <x v="1"/>
    <n v="3.64"/>
    <n v="12.5"/>
  </r>
  <r>
    <x v="9"/>
    <x v="6"/>
    <x v="0"/>
    <x v="2"/>
    <x v="17"/>
    <n v="115"/>
    <n v="1998"/>
    <s v="2.7x1.2"/>
    <n v="2.65"/>
    <n v="3200"/>
    <n v="1207.5471698113208"/>
    <n v="260"/>
    <x v="67"/>
    <n v="4.4528301886792461"/>
    <n v="7.375"/>
    <d v="2009-10-05T00:00:00"/>
    <x v="63"/>
    <n v="3.82"/>
    <n v="7"/>
  </r>
  <r>
    <x v="10"/>
    <x v="6"/>
    <x v="0"/>
    <x v="2"/>
    <x v="17"/>
    <n v="115"/>
    <n v="1998"/>
    <s v="2.7x1.2"/>
    <n v="2.65"/>
    <n v="3200"/>
    <n v="1207.5471698113208"/>
    <n v="130"/>
    <x v="395"/>
    <n v="3.9622641509433962"/>
    <n v="6.5625"/>
    <d v="2010-10-19T00:00:00"/>
    <x v="0"/>
    <n v="3.29"/>
    <n v="12"/>
  </r>
  <r>
    <x v="11"/>
    <x v="6"/>
    <x v="0"/>
    <x v="2"/>
    <x v="17"/>
    <n v="115"/>
    <n v="1998"/>
    <s v="2.7x1.2"/>
    <n v="2.65"/>
    <n v="3200"/>
    <n v="1208"/>
    <n v="215"/>
    <x v="412"/>
    <n v="3.3245283018867928"/>
    <n v="5.5062499999999996"/>
    <d v="2011-10-31T00:00:00"/>
    <x v="22"/>
    <n v="3.36"/>
    <n v="6.8"/>
  </r>
  <r>
    <x v="12"/>
    <x v="6"/>
    <x v="0"/>
    <x v="2"/>
    <x v="17"/>
    <n v="115"/>
    <n v="1998"/>
    <s v="2.7x1.2"/>
    <n v="2.65"/>
    <n v="3200"/>
    <n v="1208"/>
    <n v="200"/>
    <x v="413"/>
    <n v="2.9849056603773585"/>
    <n v="4.9437499999999996"/>
    <d v="2012-10-12T00:00:00"/>
    <x v="22"/>
    <n v="3.51"/>
    <n v="9"/>
  </r>
  <r>
    <x v="13"/>
    <x v="1"/>
    <x v="1"/>
    <x v="1"/>
    <x v="1"/>
    <m/>
    <m/>
    <m/>
    <m/>
    <m/>
    <m/>
    <m/>
    <x v="13"/>
    <m/>
    <m/>
    <m/>
    <x v="10"/>
    <m/>
    <m/>
  </r>
  <r>
    <x v="8"/>
    <x v="6"/>
    <x v="0"/>
    <x v="3"/>
    <x v="17"/>
    <n v="828"/>
    <n v="2006"/>
    <s v="2.1x1.1"/>
    <n v="1.04"/>
    <n v="1838"/>
    <n v="1767"/>
    <n v="167"/>
    <x v="273"/>
    <n v="1.6346153846153846"/>
    <n v="1.8498367791077257"/>
    <d v="2008-10-20T00:00:00"/>
    <x v="14"/>
    <n v="3.28"/>
    <n v="9"/>
  </r>
  <r>
    <x v="9"/>
    <x v="6"/>
    <x v="0"/>
    <x v="3"/>
    <x v="17"/>
    <n v="828"/>
    <n v="2006"/>
    <s v="2.1x1.1"/>
    <n v="1.04"/>
    <n v="1838"/>
    <n v="1767"/>
    <n v="173"/>
    <x v="272"/>
    <n v="2.7884615384615383"/>
    <n v="3.1556039173014145"/>
    <d v="2009-09-25T00:00:00"/>
    <x v="79"/>
    <n v="3.86"/>
    <n v="7.7"/>
  </r>
  <r>
    <x v="10"/>
    <x v="6"/>
    <x v="0"/>
    <x v="3"/>
    <x v="17"/>
    <n v="828"/>
    <n v="2006"/>
    <s v="2.1x1.1"/>
    <n v="1.04"/>
    <n v="1838"/>
    <n v="1767"/>
    <n v="150"/>
    <x v="249"/>
    <n v="3.1730769230769229"/>
    <n v="3.5908596300326443"/>
    <d v="2010-10-20T00:00:00"/>
    <x v="0"/>
    <n v="3.22"/>
    <n v="11.4"/>
  </r>
  <r>
    <x v="11"/>
    <x v="6"/>
    <x v="0"/>
    <x v="3"/>
    <x v="17"/>
    <n v="828"/>
    <n v="2006"/>
    <s v="2.1x1.1"/>
    <n v="1.04"/>
    <n v="1838"/>
    <n v="1767"/>
    <n v="200"/>
    <x v="414"/>
    <n v="5.4423076923076925"/>
    <n v="6.1588683351468987"/>
    <d v="2011-10-06T00:00:00"/>
    <x v="22"/>
    <n v="3.4"/>
    <n v="6.8"/>
  </r>
  <r>
    <x v="12"/>
    <x v="6"/>
    <x v="0"/>
    <x v="3"/>
    <x v="17"/>
    <n v="828"/>
    <n v="2006"/>
    <s v="2.1x1.1"/>
    <n v="1.04"/>
    <n v="1838"/>
    <n v="1767"/>
    <n v="160"/>
    <x v="415"/>
    <n v="3.125"/>
    <n v="3.5364526659412405"/>
    <d v="2012-10-03T00:00:00"/>
    <x v="13"/>
    <n v="3.64"/>
    <n v="7.5"/>
  </r>
  <r>
    <x v="13"/>
    <x v="1"/>
    <x v="1"/>
    <x v="1"/>
    <x v="1"/>
    <m/>
    <m/>
    <m/>
    <m/>
    <m/>
    <m/>
    <m/>
    <x v="13"/>
    <m/>
    <m/>
    <m/>
    <x v="10"/>
    <m/>
    <m/>
  </r>
  <r>
    <x v="8"/>
    <x v="6"/>
    <x v="2"/>
    <x v="3"/>
    <x v="17"/>
    <n v="667"/>
    <n v="2006"/>
    <s v="2.1x1.1"/>
    <n v="1.31"/>
    <n v="2461"/>
    <n v="1878"/>
    <n v="234"/>
    <x v="416"/>
    <n v="2.3664122137404582"/>
    <n v="2.5193010971149938"/>
    <d v="2008-10-20T00:00:00"/>
    <x v="6"/>
    <n v="3.11"/>
    <n v="10.5"/>
  </r>
  <r>
    <x v="9"/>
    <x v="6"/>
    <x v="2"/>
    <x v="3"/>
    <x v="17"/>
    <n v="667"/>
    <n v="2006"/>
    <s v="2.1x1.1"/>
    <n v="1.31"/>
    <n v="2461"/>
    <n v="1878"/>
    <n v="225"/>
    <x v="10"/>
    <n v="2.8244274809160306"/>
    <n v="3.0069077610727346"/>
    <d v="2009-09-25T00:00:00"/>
    <x v="5"/>
    <n v="3.8"/>
    <n v="6.4"/>
  </r>
  <r>
    <x v="10"/>
    <x v="6"/>
    <x v="2"/>
    <x v="3"/>
    <x v="17"/>
    <n v="667"/>
    <n v="2006"/>
    <s v="2.1x1.1"/>
    <n v="1.31"/>
    <n v="2461"/>
    <n v="1878"/>
    <n v="175"/>
    <x v="417"/>
    <n v="2.5648854961832059"/>
    <n v="2.7305973181633481"/>
    <d v="2010-10-07T00:00:00"/>
    <x v="9"/>
    <n v="3.19"/>
    <n v="10.199999999999999"/>
  </r>
  <r>
    <x v="11"/>
    <x v="6"/>
    <x v="2"/>
    <x v="3"/>
    <x v="17"/>
    <n v="667"/>
    <n v="2006"/>
    <s v="2.1x1.1"/>
    <n v="1.31"/>
    <n v="2461"/>
    <n v="1878"/>
    <m/>
    <x v="276"/>
    <n v="2.6946564885496183"/>
    <n v="2.8687525396180416"/>
    <d v="2011-10-06T00:00:00"/>
    <x v="5"/>
    <n v="3.36"/>
    <n v="7.2"/>
  </r>
  <r>
    <x v="12"/>
    <x v="6"/>
    <x v="2"/>
    <x v="3"/>
    <x v="17"/>
    <n v="667"/>
    <n v="2006"/>
    <s v="2.1x1.1"/>
    <n v="1.31"/>
    <n v="2461"/>
    <n v="1878"/>
    <n v="174"/>
    <x v="418"/>
    <n v="3.5496183206106871"/>
    <n v="3.7789516456724908"/>
    <d v="2012-10-03T00:00:00"/>
    <x v="4"/>
    <n v="3.62"/>
    <n v="7.7"/>
  </r>
  <r>
    <x v="13"/>
    <x v="1"/>
    <x v="1"/>
    <x v="1"/>
    <x v="1"/>
    <m/>
    <m/>
    <m/>
    <m/>
    <m/>
    <m/>
    <m/>
    <x v="13"/>
    <m/>
    <m/>
    <m/>
    <x v="10"/>
    <m/>
    <m/>
  </r>
  <r>
    <x v="8"/>
    <x v="6"/>
    <x v="2"/>
    <x v="8"/>
    <x v="17"/>
    <n v="777"/>
    <n v="2006"/>
    <s v="2.1x1.1"/>
    <n v="1.22"/>
    <n v="2209"/>
    <n v="1820"/>
    <n v="200"/>
    <x v="187"/>
    <n v="1.5573770491803278"/>
    <n v="1.720235400633771"/>
    <d v="2008-10-20T00:00:00"/>
    <x v="6"/>
    <n v="3.11"/>
    <n v="10.5"/>
  </r>
  <r>
    <x v="9"/>
    <x v="6"/>
    <x v="2"/>
    <x v="8"/>
    <x v="17"/>
    <n v="777"/>
    <n v="2006"/>
    <s v="2.1x1.1"/>
    <n v="1.22"/>
    <n v="2209"/>
    <n v="1820"/>
    <n v="213"/>
    <x v="263"/>
    <n v="1.7213114754098362"/>
    <n v="1.9013128112267994"/>
    <d v="2009-09-25T00:00:00"/>
    <x v="5"/>
    <n v="3.8"/>
    <n v="6.4"/>
  </r>
  <r>
    <x v="10"/>
    <x v="6"/>
    <x v="2"/>
    <x v="8"/>
    <x v="17"/>
    <n v="777"/>
    <n v="2006"/>
    <s v="2.1x1.1"/>
    <n v="1.22"/>
    <n v="2209"/>
    <n v="1820"/>
    <n v="175"/>
    <x v="417"/>
    <n v="2.7540983606557377"/>
    <n v="3.042100497962879"/>
    <m/>
    <x v="10"/>
    <m/>
    <m/>
  </r>
  <r>
    <x v="11"/>
    <x v="6"/>
    <x v="2"/>
    <x v="8"/>
    <x v="17"/>
    <n v="777"/>
    <n v="2006"/>
    <s v="2.1x1.1"/>
    <n v="1.22"/>
    <n v="2209"/>
    <n v="1820"/>
    <n v="207"/>
    <x v="419"/>
    <n v="3.4754098360655741"/>
    <n v="3.8388411045722046"/>
    <d v="2011-10-06T00:00:00"/>
    <x v="22"/>
    <n v="3.37"/>
    <n v="6.6"/>
  </r>
  <r>
    <x v="12"/>
    <x v="6"/>
    <x v="2"/>
    <x v="8"/>
    <x v="17"/>
    <n v="777"/>
    <n v="2006"/>
    <s v="2.1x1.1"/>
    <n v="1.22"/>
    <n v="2209"/>
    <n v="1820"/>
    <n v="158"/>
    <x v="360"/>
    <n v="4.1065573770491799"/>
    <n v="4.5359891353553641"/>
    <d v="2012-10-03T00:00:00"/>
    <x v="21"/>
    <n v="3.48"/>
    <n v="6.6"/>
  </r>
  <r>
    <x v="13"/>
    <x v="1"/>
    <x v="1"/>
    <x v="1"/>
    <x v="1"/>
    <m/>
    <m/>
    <m/>
    <m/>
    <m/>
    <m/>
    <m/>
    <x v="13"/>
    <m/>
    <m/>
    <m/>
    <x v="10"/>
    <m/>
    <m/>
  </r>
  <r>
    <x v="8"/>
    <x v="6"/>
    <x v="2"/>
    <x v="7"/>
    <x v="17"/>
    <n v="777"/>
    <n v="2006"/>
    <s v="2.1x1.1"/>
    <n v="0.45"/>
    <n v="702"/>
    <n v="1560"/>
    <n v="160"/>
    <x v="325"/>
    <n v="4"/>
    <n v="5.1282051282051286"/>
    <d v="2008-10-20T00:00:00"/>
    <x v="6"/>
    <n v="3.11"/>
    <n v="10.5"/>
  </r>
  <r>
    <x v="9"/>
    <x v="6"/>
    <x v="2"/>
    <x v="7"/>
    <x v="17"/>
    <n v="777"/>
    <n v="2006"/>
    <s v="2.1x1.1"/>
    <n v="0.45"/>
    <n v="702"/>
    <n v="1560"/>
    <n v="180"/>
    <x v="374"/>
    <n v="1.3333333333333333"/>
    <n v="1.7094017094017093"/>
    <d v="2009-09-25T00:00:00"/>
    <x v="5"/>
    <n v="3.8"/>
    <n v="6.4"/>
  </r>
  <r>
    <x v="10"/>
    <x v="6"/>
    <x v="2"/>
    <x v="7"/>
    <x v="17"/>
    <n v="777"/>
    <n v="2006"/>
    <s v="2.1x1.1"/>
    <n v="0.45"/>
    <n v="702"/>
    <n v="1560"/>
    <n v="175"/>
    <x v="417"/>
    <n v="7.4666666666666659"/>
    <n v="9.5726495726495724"/>
    <m/>
    <x v="10"/>
    <m/>
    <m/>
  </r>
  <r>
    <x v="11"/>
    <x v="6"/>
    <x v="2"/>
    <x v="7"/>
    <x v="17"/>
    <n v="777"/>
    <n v="2006"/>
    <s v="2.1x1.1"/>
    <n v="0.45"/>
    <n v="702"/>
    <n v="1560"/>
    <n v="235"/>
    <x v="420"/>
    <n v="7.0444444444444443"/>
    <n v="9.0313390313390318"/>
    <d v="2011-10-06T00:00:00"/>
    <x v="22"/>
    <n v="3.37"/>
    <n v="6.6"/>
  </r>
  <r>
    <x v="12"/>
    <x v="6"/>
    <x v="2"/>
    <x v="7"/>
    <x v="17"/>
    <n v="777"/>
    <n v="2006"/>
    <s v="2.1x1.1"/>
    <n v="0.45"/>
    <n v="702"/>
    <n v="1560"/>
    <n v="160"/>
    <x v="349"/>
    <n v="4.2444444444444445"/>
    <n v="5.4415954415954415"/>
    <d v="2012-10-03T00:00:00"/>
    <x v="4"/>
    <n v="3.62"/>
    <n v="7.7"/>
  </r>
  <r>
    <x v="13"/>
    <x v="1"/>
    <x v="1"/>
    <x v="1"/>
    <x v="1"/>
    <m/>
    <m/>
    <m/>
    <m/>
    <m/>
    <m/>
    <m/>
    <x v="13"/>
    <m/>
    <m/>
    <m/>
    <x v="10"/>
    <m/>
    <m/>
  </r>
  <r>
    <x v="7"/>
    <x v="6"/>
    <x v="2"/>
    <x v="11"/>
    <x v="17"/>
    <n v="828"/>
    <n v="2006"/>
    <s v="2.1x1.1"/>
    <n v="0.32"/>
    <n v="656"/>
    <n v="2050"/>
    <n v="140"/>
    <x v="421"/>
    <n v="1.25"/>
    <n v="1.2195121951219512"/>
    <d v="2007-09-28T00:00:00"/>
    <x v="5"/>
    <n v="3.39"/>
    <n v="6"/>
  </r>
  <r>
    <x v="8"/>
    <x v="6"/>
    <x v="2"/>
    <x v="11"/>
    <x v="17"/>
    <n v="828"/>
    <n v="2006"/>
    <s v="2.1x1.1"/>
    <n v="0.32"/>
    <n v="656"/>
    <n v="2050"/>
    <n v="167"/>
    <x v="220"/>
    <n v="1.5625"/>
    <n v="1.524390243902439"/>
    <d v="2008-10-20T00:00:00"/>
    <x v="5"/>
    <n v="3.61"/>
    <n v="12.4"/>
  </r>
  <r>
    <x v="9"/>
    <x v="6"/>
    <x v="2"/>
    <x v="11"/>
    <x v="17"/>
    <n v="828"/>
    <n v="2006"/>
    <s v="2.1x1.1"/>
    <n v="0.32"/>
    <n v="656"/>
    <n v="2050"/>
    <m/>
    <x v="13"/>
    <n v="0"/>
    <n v="0"/>
    <m/>
    <x v="10"/>
    <m/>
    <m/>
  </r>
  <r>
    <x v="10"/>
    <x v="6"/>
    <x v="2"/>
    <x v="11"/>
    <x v="17"/>
    <n v="828"/>
    <n v="2006"/>
    <s v="2.1x1.1"/>
    <n v="0.32"/>
    <n v="656"/>
    <n v="2050"/>
    <n v="150"/>
    <x v="219"/>
    <n v="2.8125"/>
    <n v="2.7439024390243905"/>
    <d v="2010-10-07T00:00:00"/>
    <x v="4"/>
    <n v="3.21"/>
    <n v="11"/>
  </r>
  <r>
    <x v="11"/>
    <x v="6"/>
    <x v="2"/>
    <x v="11"/>
    <x v="17"/>
    <n v="828"/>
    <n v="2006"/>
    <s v="2.1x1.1"/>
    <n v="0.32"/>
    <n v="656"/>
    <n v="2050"/>
    <m/>
    <x v="404"/>
    <n v="1.09375"/>
    <n v="1.0670731707317074"/>
    <d v="2011-10-06T00:00:00"/>
    <x v="22"/>
    <n v="3.4"/>
    <n v="6.8"/>
  </r>
  <r>
    <x v="12"/>
    <x v="6"/>
    <x v="2"/>
    <x v="11"/>
    <x v="17"/>
    <n v="828"/>
    <n v="2006"/>
    <s v="2.1x1.1"/>
    <n v="0.32"/>
    <n v="656"/>
    <n v="2050"/>
    <n v="148"/>
    <x v="326"/>
    <n v="3.7187499999999996"/>
    <n v="3.6280487804878048"/>
    <d v="2012-10-03T00:00:00"/>
    <x v="21"/>
    <n v="3.48"/>
    <n v="6.6"/>
  </r>
  <r>
    <x v="13"/>
    <x v="1"/>
    <x v="1"/>
    <x v="1"/>
    <x v="1"/>
    <m/>
    <m/>
    <m/>
    <m/>
    <m/>
    <m/>
    <m/>
    <x v="13"/>
    <m/>
    <m/>
    <m/>
    <x v="10"/>
    <m/>
    <m/>
  </r>
  <r>
    <x v="7"/>
    <x v="6"/>
    <x v="3"/>
    <x v="0"/>
    <x v="2"/>
    <n v="96"/>
    <n v="2006"/>
    <s v="2.1x1.1"/>
    <n v="0.74"/>
    <n v="5151"/>
    <n v="1710"/>
    <m/>
    <x v="399"/>
    <n v="2.1621621621621623"/>
    <n v="0.62123859444768004"/>
    <m/>
    <x v="10"/>
    <m/>
    <m/>
  </r>
  <r>
    <x v="8"/>
    <x v="6"/>
    <x v="3"/>
    <x v="0"/>
    <x v="2"/>
    <n v="96"/>
    <n v="2006"/>
    <s v="2.1x1.1"/>
    <n v="3.29"/>
    <n v="5151"/>
    <n v="1710"/>
    <m/>
    <x v="422"/>
    <n v="5.9270516717325226"/>
    <n v="7.5713453698311008"/>
    <d v="2008-10-21T00:00:00"/>
    <x v="36"/>
    <n v="3.45"/>
    <n v="7.8"/>
  </r>
  <r>
    <x v="9"/>
    <x v="6"/>
    <x v="3"/>
    <x v="0"/>
    <x v="2"/>
    <n v="96"/>
    <n v="2006"/>
    <s v="2.1x1.1"/>
    <n v="0.74"/>
    <n v="5151"/>
    <n v="1710"/>
    <m/>
    <x v="13"/>
    <n v="0"/>
    <n v="0"/>
    <m/>
    <x v="10"/>
    <m/>
    <m/>
  </r>
  <r>
    <x v="10"/>
    <x v="6"/>
    <x v="3"/>
    <x v="0"/>
    <x v="2"/>
    <n v="96"/>
    <n v="2006"/>
    <s v="2.1x1.1"/>
    <n v="0.74"/>
    <n v="5151"/>
    <n v="1710"/>
    <n v="290"/>
    <x v="408"/>
    <n v="29.594594594594593"/>
    <n v="8.5032032615026214"/>
    <d v="2010-10-24T00:00:00"/>
    <x v="102"/>
    <n v="3.25"/>
    <n v="9.8000000000000007"/>
  </r>
  <r>
    <x v="11"/>
    <x v="6"/>
    <x v="3"/>
    <x v="0"/>
    <x v="2"/>
    <n v="96"/>
    <n v="2006"/>
    <s v="2.1x1.1"/>
    <n v="0.74"/>
    <n v="5151"/>
    <n v="1710"/>
    <m/>
    <x v="13"/>
    <n v="0"/>
    <n v="0"/>
    <m/>
    <x v="10"/>
    <m/>
    <m/>
  </r>
  <r>
    <x v="12"/>
    <x v="6"/>
    <x v="3"/>
    <x v="0"/>
    <x v="2"/>
    <n v="96"/>
    <n v="2006"/>
    <s v="2.1x1.1"/>
    <n v="0.74"/>
    <n v="5151"/>
    <n v="1710"/>
    <m/>
    <x v="13"/>
    <n v="0"/>
    <n v="0"/>
    <m/>
    <x v="10"/>
    <m/>
    <m/>
  </r>
  <r>
    <x v="13"/>
    <x v="1"/>
    <x v="1"/>
    <x v="1"/>
    <x v="1"/>
    <m/>
    <m/>
    <m/>
    <m/>
    <m/>
    <m/>
    <m/>
    <x v="13"/>
    <m/>
    <m/>
    <m/>
    <x v="10"/>
    <m/>
    <m/>
  </r>
  <r>
    <x v="8"/>
    <x v="6"/>
    <x v="3"/>
    <x v="5"/>
    <x v="2"/>
    <n v="76"/>
    <n v="2006"/>
    <s v="2.1x1.1"/>
    <n v="0"/>
    <n v="1266"/>
    <n v="1565"/>
    <m/>
    <x v="13"/>
    <m/>
    <m/>
    <m/>
    <x v="10"/>
    <m/>
    <m/>
  </r>
  <r>
    <x v="9"/>
    <x v="6"/>
    <x v="3"/>
    <x v="5"/>
    <x v="2"/>
    <n v="76"/>
    <n v="2006"/>
    <s v="2.1x1.1"/>
    <n v="3.29"/>
    <n v="1266"/>
    <n v="1565"/>
    <m/>
    <x v="361"/>
    <n v="2.6747720364741645"/>
    <n v="13.902053712480253"/>
    <d v="2009-10-14T00:00:00"/>
    <x v="40"/>
    <n v="3.68"/>
    <n v="6"/>
  </r>
  <r>
    <x v="10"/>
    <x v="6"/>
    <x v="3"/>
    <x v="5"/>
    <x v="2"/>
    <n v="76"/>
    <n v="2006"/>
    <s v="2.1x1.1"/>
    <n v="3.29"/>
    <n v="1266"/>
    <n v="1565"/>
    <n v="183"/>
    <x v="67"/>
    <n v="3.5866261398176293"/>
    <n v="18.641390205371248"/>
    <d v="2010-10-23T00:00:00"/>
    <x v="40"/>
    <n v="3.37"/>
    <n v="7.9"/>
  </r>
  <r>
    <x v="11"/>
    <x v="6"/>
    <x v="3"/>
    <x v="5"/>
    <x v="2"/>
    <n v="76"/>
    <n v="2006"/>
    <s v="2.1x1.1"/>
    <n v="3.29"/>
    <n v="1266"/>
    <n v="1565"/>
    <n v="300"/>
    <x v="423"/>
    <m/>
    <m/>
    <d v="2011-11-03T00:00:00"/>
    <x v="99"/>
    <n v="3.42"/>
    <n v="6.45"/>
  </r>
  <r>
    <x v="12"/>
    <x v="6"/>
    <x v="3"/>
    <x v="5"/>
    <x v="2"/>
    <n v="76"/>
    <n v="2006"/>
    <s v="2.1x1.1"/>
    <n v="3.29"/>
    <n v="1266"/>
    <n v="1565"/>
    <n v="488"/>
    <x v="424"/>
    <m/>
    <m/>
    <d v="2012-10-20T00:00:00"/>
    <x v="103"/>
    <n v="3.3180000000000001"/>
    <n v="7.8140000000000001"/>
  </r>
  <r>
    <x v="13"/>
    <x v="1"/>
    <x v="1"/>
    <x v="1"/>
    <x v="1"/>
    <m/>
    <m/>
    <m/>
    <m/>
    <m/>
    <m/>
    <m/>
    <x v="13"/>
    <m/>
    <m/>
    <m/>
    <x v="10"/>
    <m/>
    <m/>
  </r>
  <r>
    <x v="7"/>
    <x v="6"/>
    <x v="0"/>
    <x v="5"/>
    <x v="3"/>
    <n v="220"/>
    <n v="2006"/>
    <s v="2.1x1.1"/>
    <n v="5.04"/>
    <n v="8946"/>
    <n v="1775"/>
    <m/>
    <x v="250"/>
    <n v="1.6666666666666667"/>
    <n v="1.8779342723004695"/>
    <m/>
    <x v="10"/>
    <m/>
    <m/>
  </r>
  <r>
    <x v="8"/>
    <x v="6"/>
    <x v="0"/>
    <x v="5"/>
    <x v="3"/>
    <n v="220"/>
    <n v="2006"/>
    <s v="2.1x1.1"/>
    <n v="5.04"/>
    <n v="8946"/>
    <n v="1775"/>
    <n v="235"/>
    <x v="425"/>
    <n v="4.503968253968254"/>
    <n v="5.0748938072881735"/>
    <d v="2008-10-10T00:00:00"/>
    <x v="101"/>
    <n v="3.17"/>
    <n v="12.3"/>
  </r>
  <r>
    <x v="9"/>
    <x v="6"/>
    <x v="0"/>
    <x v="5"/>
    <x v="3"/>
    <n v="220"/>
    <n v="2006"/>
    <s v="2.1x1.1"/>
    <n v="5.04"/>
    <n v="8946"/>
    <n v="1775"/>
    <n v="320"/>
    <x v="155"/>
    <n v="2.8571428571428572"/>
    <n v="3.2193158953722336"/>
    <d v="2009-10-02T00:00:00"/>
    <x v="40"/>
    <n v="3.46"/>
    <n v="7.1"/>
  </r>
  <r>
    <x v="10"/>
    <x v="6"/>
    <x v="0"/>
    <x v="5"/>
    <x v="3"/>
    <n v="220"/>
    <n v="2006"/>
    <s v="2.1x1.1"/>
    <n v="5.04"/>
    <n v="8946"/>
    <n v="1775"/>
    <n v="185"/>
    <x v="426"/>
    <n v="6.746031746031746"/>
    <n v="7.6011625307399955"/>
    <d v="2010-10-22T00:00:00"/>
    <x v="104"/>
    <n v="3.04"/>
    <n v="11.5"/>
  </r>
  <r>
    <x v="11"/>
    <x v="6"/>
    <x v="0"/>
    <x v="5"/>
    <x v="3"/>
    <n v="220"/>
    <n v="2006"/>
    <s v="2.1x1.1"/>
    <n v="5.04"/>
    <n v="8946"/>
    <n v="1775"/>
    <n v="345"/>
    <x v="427"/>
    <n v="5.2063492063492056"/>
    <n v="5.8663089649005142"/>
    <d v="2011-10-21T00:00:00"/>
    <x v="35"/>
    <n v="3.21"/>
    <n v="11"/>
  </r>
  <r>
    <x v="12"/>
    <x v="6"/>
    <x v="0"/>
    <x v="5"/>
    <x v="3"/>
    <n v="220"/>
    <n v="2006"/>
    <s v="2.1x1.1"/>
    <n v="5.04"/>
    <n v="8946"/>
    <n v="1775"/>
    <n v="340"/>
    <x v="428"/>
    <n v="7.5634920634920642"/>
    <n v="8.5222445785826082"/>
    <s v="15 &amp; 16 Oct"/>
    <x v="105"/>
    <n v="3.105"/>
    <n v="9.14"/>
  </r>
  <r>
    <x v="13"/>
    <x v="1"/>
    <x v="1"/>
    <x v="1"/>
    <x v="1"/>
    <m/>
    <m/>
    <m/>
    <m/>
    <m/>
    <m/>
    <m/>
    <x v="13"/>
    <m/>
    <m/>
    <m/>
    <x v="10"/>
    <m/>
    <m/>
  </r>
  <r>
    <x v="7"/>
    <x v="6"/>
    <x v="2"/>
    <x v="4"/>
    <x v="8"/>
    <n v="49"/>
    <n v="2006"/>
    <s v="2.1x1.1"/>
    <n v="0.68"/>
    <n v="1132"/>
    <n v="1664"/>
    <m/>
    <x v="429"/>
    <n v="2.2058823529411762"/>
    <n v="2.6501766784452299"/>
    <m/>
    <x v="10"/>
    <m/>
    <m/>
  </r>
  <r>
    <x v="8"/>
    <x v="6"/>
    <x v="2"/>
    <x v="4"/>
    <x v="8"/>
    <n v="49"/>
    <n v="2006"/>
    <s v="2.1x1.1"/>
    <n v="0.68"/>
    <n v="1132"/>
    <n v="1664"/>
    <n v="145"/>
    <x v="274"/>
    <n v="3.9705882352941178"/>
    <n v="4.7703180212014136"/>
    <d v="2008-11-04T00:00:00"/>
    <x v="19"/>
    <n v="3.08"/>
    <n v="12.5"/>
  </r>
  <r>
    <x v="9"/>
    <x v="6"/>
    <x v="2"/>
    <x v="4"/>
    <x v="8"/>
    <n v="49"/>
    <n v="2006"/>
    <s v="2.1x1.1"/>
    <n v="0.68"/>
    <n v="1132"/>
    <n v="1664"/>
    <m/>
    <x v="13"/>
    <n v="0"/>
    <n v="0"/>
    <d v="2009-10-19T00:00:00"/>
    <x v="4"/>
    <n v="3.33"/>
    <n v="7.4"/>
  </r>
  <r>
    <x v="10"/>
    <x v="6"/>
    <x v="2"/>
    <x v="4"/>
    <x v="8"/>
    <n v="49"/>
    <n v="2006"/>
    <s v="2.1x1.1"/>
    <n v="0.68"/>
    <n v="1132"/>
    <n v="1664"/>
    <m/>
    <x v="13"/>
    <n v="0"/>
    <n v="0"/>
    <m/>
    <x v="10"/>
    <m/>
    <m/>
  </r>
  <r>
    <x v="11"/>
    <x v="6"/>
    <x v="2"/>
    <x v="4"/>
    <x v="8"/>
    <n v="49"/>
    <n v="2006"/>
    <s v="2.1x1.1"/>
    <n v="0.68"/>
    <n v="1132"/>
    <n v="1664"/>
    <n v="200"/>
    <x v="430"/>
    <n v="11.941176470588234"/>
    <n v="14.346289752650176"/>
    <d v="2011-11-03T00:00:00"/>
    <x v="46"/>
    <n v="3.38"/>
    <n v="10"/>
  </r>
  <r>
    <x v="12"/>
    <x v="6"/>
    <x v="2"/>
    <x v="4"/>
    <x v="8"/>
    <n v="49"/>
    <n v="2006"/>
    <s v="2.1x1.1"/>
    <n v="0.68"/>
    <n v="1132"/>
    <n v="1664"/>
    <m/>
    <x v="431"/>
    <n v="2.8823529411764701"/>
    <n v="3.462897526501767"/>
    <d v="2012-10-24T00:00:00"/>
    <x v="44"/>
    <n v="2.94"/>
    <n v="8.85"/>
  </r>
  <r>
    <x v="13"/>
    <x v="1"/>
    <x v="1"/>
    <x v="1"/>
    <x v="1"/>
    <m/>
    <m/>
    <m/>
    <m/>
    <m/>
    <m/>
    <m/>
    <x v="13"/>
    <m/>
    <m/>
    <m/>
    <x v="10"/>
    <m/>
    <m/>
  </r>
  <r>
    <x v="7"/>
    <x v="6"/>
    <x v="2"/>
    <x v="0"/>
    <x v="8"/>
    <n v="49"/>
    <n v="2006"/>
    <s v="2.1x1.1"/>
    <n v="1.58"/>
    <n v="2737"/>
    <n v="1732"/>
    <m/>
    <x v="429"/>
    <n v="0.94936708860759489"/>
    <n v="1.0960906101571064"/>
    <m/>
    <x v="10"/>
    <m/>
    <m/>
  </r>
  <r>
    <x v="8"/>
    <x v="6"/>
    <x v="2"/>
    <x v="0"/>
    <x v="8"/>
    <n v="49"/>
    <n v="2006"/>
    <s v="2.1x1.1"/>
    <n v="1.58"/>
    <n v="2737"/>
    <n v="1732"/>
    <n v="145"/>
    <x v="31"/>
    <n v="3.2911392405063289"/>
    <n v="3.7997807818779687"/>
    <d v="2008-11-04T00:00:00"/>
    <x v="19"/>
    <n v="3.08"/>
    <n v="12.5"/>
  </r>
  <r>
    <x v="9"/>
    <x v="6"/>
    <x v="2"/>
    <x v="0"/>
    <x v="8"/>
    <n v="49"/>
    <n v="2006"/>
    <s v="2.1x1.1"/>
    <n v="1.58"/>
    <n v="2737"/>
    <n v="1732"/>
    <m/>
    <x v="13"/>
    <n v="0"/>
    <n v="0"/>
    <d v="2009-10-19T00:00:00"/>
    <x v="4"/>
    <n v="3.33"/>
    <n v="7.4"/>
  </r>
  <r>
    <x v="10"/>
    <x v="6"/>
    <x v="2"/>
    <x v="0"/>
    <x v="8"/>
    <n v="49"/>
    <n v="2006"/>
    <s v="2.1x1.1"/>
    <n v="1.58"/>
    <n v="2737"/>
    <n v="1732"/>
    <m/>
    <x v="408"/>
    <n v="13.860759493670885"/>
    <n v="16.002922908293751"/>
    <d v="2010-10-29T00:00:00"/>
    <x v="15"/>
    <n v="3.03"/>
    <n v="10.1"/>
  </r>
  <r>
    <x v="11"/>
    <x v="6"/>
    <x v="2"/>
    <x v="0"/>
    <x v="8"/>
    <n v="49"/>
    <n v="2006"/>
    <s v="2.1x1.1"/>
    <n v="1.58"/>
    <n v="2737"/>
    <n v="1732"/>
    <n v="190"/>
    <x v="140"/>
    <n v="4.6139240506329111"/>
    <n v="5.3270003653635367"/>
    <d v="2011-11-03T00:00:00"/>
    <x v="99"/>
    <n v="3.4"/>
    <n v="10.4"/>
  </r>
  <r>
    <x v="12"/>
    <x v="6"/>
    <x v="2"/>
    <x v="0"/>
    <x v="8"/>
    <n v="49"/>
    <n v="2006"/>
    <s v="2.1x1.1"/>
    <n v="1.58"/>
    <n v="2737"/>
    <n v="1732"/>
    <m/>
    <x v="432"/>
    <n v="5.3670886075949369"/>
    <n v="6.1965655827548414"/>
    <d v="2012-10-24T00:00:00"/>
    <x v="98"/>
    <n v="2.99"/>
    <n v="9.41"/>
  </r>
  <r>
    <x v="13"/>
    <x v="1"/>
    <x v="1"/>
    <x v="1"/>
    <x v="1"/>
    <m/>
    <m/>
    <m/>
    <m/>
    <m/>
    <m/>
    <m/>
    <x v="13"/>
    <m/>
    <m/>
    <m/>
    <x v="10"/>
    <m/>
    <m/>
  </r>
  <r>
    <x v="8"/>
    <x v="6"/>
    <x v="2"/>
    <x v="2"/>
    <x v="8"/>
    <n v="49"/>
    <n v="2006"/>
    <s v="2.1x1.1"/>
    <n v="0.21"/>
    <n v="403"/>
    <n v="1919"/>
    <n v="145"/>
    <x v="216"/>
    <n v="5.238095238095239"/>
    <n v="5.4590570719602978"/>
    <d v="2008-11-04T00:00:00"/>
    <x v="19"/>
    <n v="3.08"/>
    <n v="12.5"/>
  </r>
  <r>
    <x v="9"/>
    <x v="6"/>
    <x v="2"/>
    <x v="2"/>
    <x v="8"/>
    <n v="49"/>
    <n v="2006"/>
    <s v="2.1x1.1"/>
    <n v="0.21"/>
    <n v="403"/>
    <n v="1919"/>
    <n v="145"/>
    <x v="13"/>
    <n v="0"/>
    <n v="0"/>
    <d v="2009-10-19T00:00:00"/>
    <x v="4"/>
    <n v="3.33"/>
    <n v="7.4"/>
  </r>
  <r>
    <x v="10"/>
    <x v="6"/>
    <x v="2"/>
    <x v="2"/>
    <x v="8"/>
    <n v="49"/>
    <n v="2006"/>
    <s v="2.1x1.1"/>
    <n v="0.21"/>
    <n v="403"/>
    <n v="1919"/>
    <n v="145"/>
    <x v="13"/>
    <n v="0"/>
    <n v="0"/>
    <m/>
    <x v="10"/>
    <m/>
    <m/>
  </r>
  <r>
    <x v="11"/>
    <x v="6"/>
    <x v="2"/>
    <x v="2"/>
    <x v="8"/>
    <n v="49"/>
    <n v="2006"/>
    <s v="2.1x1.1"/>
    <n v="0.21"/>
    <n v="403"/>
    <n v="1919"/>
    <n v="190"/>
    <x v="433"/>
    <n v="5.3333333333333339"/>
    <n v="5.5583126550868487"/>
    <d v="2011-11-03T00:00:00"/>
    <x v="35"/>
    <n v="3.37"/>
    <n v="9.9"/>
  </r>
  <r>
    <x v="12"/>
    <x v="6"/>
    <x v="2"/>
    <x v="2"/>
    <x v="8"/>
    <n v="49"/>
    <n v="2006"/>
    <s v="2.1x1.1"/>
    <n v="0.21"/>
    <n v="403"/>
    <n v="1919"/>
    <n v="145"/>
    <x v="13"/>
    <n v="0"/>
    <n v="0"/>
    <m/>
    <x v="10"/>
    <m/>
    <m/>
  </r>
  <r>
    <x v="13"/>
    <x v="1"/>
    <x v="1"/>
    <x v="1"/>
    <x v="1"/>
    <m/>
    <m/>
    <m/>
    <m/>
    <m/>
    <m/>
    <m/>
    <x v="13"/>
    <m/>
    <m/>
    <m/>
    <x v="10"/>
    <m/>
    <m/>
  </r>
  <r>
    <x v="7"/>
    <x v="6"/>
    <x v="3"/>
    <x v="4"/>
    <x v="8"/>
    <n v="49"/>
    <n v="2006"/>
    <s v="2.1x1.1"/>
    <n v="0.68"/>
    <n v="1132"/>
    <n v="1664"/>
    <m/>
    <x v="429"/>
    <n v="2.2058823529411762"/>
    <n v="2.6501766784452299"/>
    <m/>
    <x v="10"/>
    <m/>
    <m/>
  </r>
  <r>
    <x v="8"/>
    <x v="6"/>
    <x v="3"/>
    <x v="4"/>
    <x v="8"/>
    <n v="49"/>
    <n v="2006"/>
    <s v="2.1x1.1"/>
    <n v="0.68"/>
    <n v="1132"/>
    <n v="1664"/>
    <n v="145"/>
    <x v="327"/>
    <n v="4.4117647058823524"/>
    <n v="5.3003533568904597"/>
    <d v="2008-11-04T00:00:00"/>
    <x v="19"/>
    <n v="3.08"/>
    <n v="12.5"/>
  </r>
  <r>
    <x v="9"/>
    <x v="6"/>
    <x v="3"/>
    <x v="4"/>
    <x v="8"/>
    <n v="49"/>
    <n v="2006"/>
    <s v="2.1x1.1"/>
    <n v="0.68"/>
    <n v="1132"/>
    <n v="1664"/>
    <m/>
    <x v="13"/>
    <n v="0"/>
    <n v="0"/>
    <d v="2009-10-19T00:00:00"/>
    <x v="4"/>
    <n v="3.33"/>
    <n v="7.4"/>
  </r>
  <r>
    <x v="10"/>
    <x v="6"/>
    <x v="3"/>
    <x v="4"/>
    <x v="8"/>
    <n v="49"/>
    <n v="2006"/>
    <s v="2.1x1.1"/>
    <n v="0.68"/>
    <n v="1132"/>
    <n v="1664"/>
    <m/>
    <x v="13"/>
    <n v="0"/>
    <n v="0"/>
    <m/>
    <x v="10"/>
    <m/>
    <m/>
  </r>
  <r>
    <x v="11"/>
    <x v="6"/>
    <x v="3"/>
    <x v="4"/>
    <x v="8"/>
    <n v="49"/>
    <n v="2006"/>
    <s v="2.1x1.1"/>
    <n v="0.68"/>
    <n v="1132"/>
    <n v="1664"/>
    <n v="225"/>
    <x v="434"/>
    <n v="7.4117647058823524"/>
    <n v="8.9045936395759711"/>
    <d v="2011-11-04T00:00:00"/>
    <x v="35"/>
    <n v="3.37"/>
    <n v="9.9"/>
  </r>
  <r>
    <x v="12"/>
    <x v="6"/>
    <x v="3"/>
    <x v="4"/>
    <x v="8"/>
    <n v="49"/>
    <n v="2006"/>
    <s v="2.1x1.1"/>
    <n v="0.68"/>
    <n v="1132"/>
    <n v="1664"/>
    <m/>
    <x v="13"/>
    <n v="0"/>
    <n v="0"/>
    <m/>
    <x v="10"/>
    <m/>
    <m/>
  </r>
  <r>
    <x v="13"/>
    <x v="1"/>
    <x v="1"/>
    <x v="1"/>
    <x v="1"/>
    <m/>
    <m/>
    <m/>
    <m/>
    <m/>
    <m/>
    <m/>
    <x v="13"/>
    <m/>
    <m/>
    <m/>
    <x v="10"/>
    <m/>
    <m/>
  </r>
  <r>
    <x v="8"/>
    <x v="6"/>
    <x v="3"/>
    <x v="0"/>
    <x v="8"/>
    <n v="239"/>
    <n v="1977"/>
    <s v="3.3x1.5"/>
    <n v="1.1299999999999999"/>
    <n v="946"/>
    <n v="837"/>
    <n v="145"/>
    <x v="188"/>
    <n v="4.0707964601769913"/>
    <n v="9.7251585623678647"/>
    <d v="2008-11-04T00:00:00"/>
    <x v="19"/>
    <n v="3.08"/>
    <n v="12.5"/>
  </r>
  <r>
    <x v="9"/>
    <x v="6"/>
    <x v="3"/>
    <x v="0"/>
    <x v="8"/>
    <n v="239"/>
    <n v="1977"/>
    <s v="3.3x1.5"/>
    <n v="1.1299999999999999"/>
    <n v="946"/>
    <n v="837"/>
    <n v="185"/>
    <x v="435"/>
    <n v="7.610619469026549"/>
    <n v="18.181818181818183"/>
    <d v="2009-10-19T00:00:00"/>
    <x v="4"/>
    <n v="3.33"/>
    <n v="7.4"/>
  </r>
  <r>
    <x v="10"/>
    <x v="6"/>
    <x v="3"/>
    <x v="0"/>
    <x v="8"/>
    <n v="239"/>
    <n v="1977"/>
    <s v="3.3x1.5"/>
    <n v="1.1299999999999999"/>
    <n v="946"/>
    <n v="837"/>
    <m/>
    <x v="13"/>
    <n v="0"/>
    <n v="0"/>
    <m/>
    <x v="10"/>
    <m/>
    <m/>
  </r>
  <r>
    <x v="11"/>
    <x v="6"/>
    <x v="3"/>
    <x v="0"/>
    <x v="8"/>
    <n v="239"/>
    <n v="1977"/>
    <s v="3.3x1.5"/>
    <n v="1.1299999999999999"/>
    <n v="946"/>
    <n v="837"/>
    <n v="202"/>
    <x v="436"/>
    <n v="3.6991150442477876"/>
    <n v="8.8372093023255811"/>
    <d v="2011-11-03T00:00:00"/>
    <x v="35"/>
    <n v="3.37"/>
    <n v="9.9"/>
  </r>
  <r>
    <x v="12"/>
    <x v="6"/>
    <x v="3"/>
    <x v="0"/>
    <x v="8"/>
    <n v="239"/>
    <n v="1977"/>
    <s v="3.3x1.5"/>
    <n v="1.1299999999999999"/>
    <n v="946"/>
    <n v="837"/>
    <m/>
    <x v="13"/>
    <n v="0"/>
    <n v="0"/>
    <m/>
    <x v="10"/>
    <m/>
    <m/>
  </r>
  <r>
    <x v="13"/>
    <x v="1"/>
    <x v="1"/>
    <x v="1"/>
    <x v="1"/>
    <m/>
    <m/>
    <m/>
    <m/>
    <m/>
    <m/>
    <m/>
    <x v="13"/>
    <m/>
    <m/>
    <m/>
    <x v="10"/>
    <m/>
    <m/>
  </r>
  <r>
    <x v="8"/>
    <x v="6"/>
    <x v="3"/>
    <x v="3"/>
    <x v="8"/>
    <n v="239"/>
    <n v="1977"/>
    <s v="11x5"/>
    <n v="1.1299999999999999"/>
    <n v="837"/>
    <n v="740.70796460176996"/>
    <m/>
    <x v="7"/>
    <n v="4.9557522123893802"/>
    <n v="13.381123058542414"/>
    <d v="2008-10-20T00:00:00"/>
    <x v="28"/>
    <n v="3.12"/>
    <n v="11"/>
  </r>
  <r>
    <x v="9"/>
    <x v="6"/>
    <x v="3"/>
    <x v="3"/>
    <x v="8"/>
    <n v="239"/>
    <n v="1977"/>
    <s v="11x5"/>
    <n v="1.1299999999999999"/>
    <n v="837"/>
    <n v="740.70796460176996"/>
    <m/>
    <x v="90"/>
    <n v="5.5752212389380533"/>
    <n v="15.053763440860216"/>
    <m/>
    <x v="10"/>
    <m/>
    <m/>
  </r>
  <r>
    <x v="10"/>
    <x v="6"/>
    <x v="3"/>
    <x v="3"/>
    <x v="8"/>
    <n v="239"/>
    <n v="1977"/>
    <s v="11x5"/>
    <n v="1.1299999999999999"/>
    <n v="837"/>
    <n v="741"/>
    <m/>
    <x v="352"/>
    <n v="4.778761061946903"/>
    <n v="12.903225806451612"/>
    <d v="2010-10-28T00:00:00"/>
    <x v="10"/>
    <m/>
    <m/>
  </r>
  <r>
    <x v="11"/>
    <x v="6"/>
    <x v="3"/>
    <x v="3"/>
    <x v="8"/>
    <n v="239"/>
    <n v="1977"/>
    <s v="11x5"/>
    <n v="1.1299999999999999"/>
    <n v="837"/>
    <n v="741"/>
    <m/>
    <x v="437"/>
    <n v="5.0265486725663715"/>
    <n v="13.572281959378733"/>
    <m/>
    <x v="10"/>
    <m/>
    <m/>
  </r>
  <r>
    <x v="12"/>
    <x v="6"/>
    <x v="3"/>
    <x v="3"/>
    <x v="8"/>
    <n v="239"/>
    <n v="1977"/>
    <s v="11x5"/>
    <n v="1.1299999999999999"/>
    <n v="837"/>
    <n v="741"/>
    <m/>
    <x v="13"/>
    <n v="0"/>
    <n v="0"/>
    <m/>
    <x v="10"/>
    <m/>
    <m/>
  </r>
  <r>
    <x v="13"/>
    <x v="1"/>
    <x v="1"/>
    <x v="1"/>
    <x v="1"/>
    <m/>
    <m/>
    <m/>
    <m/>
    <m/>
    <m/>
    <m/>
    <x v="13"/>
    <m/>
    <m/>
    <m/>
    <x v="10"/>
    <m/>
    <m/>
  </r>
  <r>
    <x v="8"/>
    <x v="6"/>
    <x v="2"/>
    <x v="5"/>
    <x v="4"/>
    <n v="47"/>
    <n v="2006"/>
    <s v="2.1x1.1"/>
    <n v="0.57999999999999996"/>
    <n v="1040"/>
    <n v="1793"/>
    <n v="220"/>
    <x v="5"/>
    <n v="3.4482758620689657"/>
    <n v="3.8461538461538463"/>
    <d v="2008-10-16T00:00:00"/>
    <x v="15"/>
    <n v="3.65"/>
    <n v="6.45"/>
  </r>
  <r>
    <x v="9"/>
    <x v="6"/>
    <x v="2"/>
    <x v="5"/>
    <x v="4"/>
    <n v="47"/>
    <n v="2006"/>
    <s v="2.1x1.1"/>
    <n v="0.57999999999999996"/>
    <n v="1040"/>
    <n v="1793"/>
    <n v="135"/>
    <x v="429"/>
    <n v="2.5862068965517242"/>
    <n v="2.8846153846153846"/>
    <d v="2009-10-06T00:00:00"/>
    <x v="6"/>
    <n v="3.75"/>
    <n v="5.5"/>
  </r>
  <r>
    <x v="10"/>
    <x v="6"/>
    <x v="2"/>
    <x v="5"/>
    <x v="4"/>
    <n v="47"/>
    <n v="2006"/>
    <s v="2.1x1.1"/>
    <n v="0.57999999999999996"/>
    <n v="1040"/>
    <n v="1793"/>
    <n v="245"/>
    <x v="327"/>
    <n v="5.1724137931034484"/>
    <n v="5.7692307692307692"/>
    <d v="2010-10-19T00:00:00"/>
    <x v="5"/>
    <n v="3.31"/>
    <n v="8.5"/>
  </r>
  <r>
    <x v="11"/>
    <x v="6"/>
    <x v="2"/>
    <x v="5"/>
    <x v="4"/>
    <n v="47"/>
    <n v="2006"/>
    <s v="2.1x1.1"/>
    <n v="0.57999999999999996"/>
    <n v="1040"/>
    <n v="1793"/>
    <n v="230"/>
    <x v="438"/>
    <n v="1.1379310344827587"/>
    <n v="1.2692307692307692"/>
    <d v="2011-10-25T00:00:00"/>
    <x v="10"/>
    <m/>
    <m/>
  </r>
  <r>
    <x v="12"/>
    <x v="6"/>
    <x v="2"/>
    <x v="5"/>
    <x v="4"/>
    <n v="47"/>
    <n v="2006"/>
    <s v="2.1x1.1"/>
    <n v="0.57999999999999996"/>
    <n v="1040"/>
    <n v="1793"/>
    <n v="140"/>
    <x v="94"/>
    <n v="5.6551724137931032"/>
    <n v="6.3076923076923075"/>
    <d v="2012-10-05T00:00:00"/>
    <x v="106"/>
    <n v="3.3"/>
    <n v="6.35"/>
  </r>
  <r>
    <x v="13"/>
    <x v="1"/>
    <x v="1"/>
    <x v="1"/>
    <x v="1"/>
    <m/>
    <m/>
    <m/>
    <m/>
    <m/>
    <m/>
    <m/>
    <x v="13"/>
    <m/>
    <m/>
    <m/>
    <x v="10"/>
    <m/>
    <m/>
  </r>
  <r>
    <x v="8"/>
    <x v="6"/>
    <x v="0"/>
    <x v="1"/>
    <x v="14"/>
    <m/>
    <m/>
    <m/>
    <m/>
    <m/>
    <m/>
    <m/>
    <x v="212"/>
    <m/>
    <m/>
    <m/>
    <x v="10"/>
    <m/>
    <m/>
  </r>
  <r>
    <x v="9"/>
    <x v="6"/>
    <x v="0"/>
    <x v="1"/>
    <x v="14"/>
    <m/>
    <m/>
    <m/>
    <m/>
    <m/>
    <m/>
    <n v="130"/>
    <x v="439"/>
    <m/>
    <m/>
    <d v="2009-09-28T00:00:00"/>
    <x v="84"/>
    <n v="4.0199999999999996"/>
    <n v="7.5"/>
  </r>
  <r>
    <x v="10"/>
    <x v="6"/>
    <x v="0"/>
    <x v="1"/>
    <x v="14"/>
    <m/>
    <m/>
    <m/>
    <m/>
    <m/>
    <m/>
    <m/>
    <x v="13"/>
    <m/>
    <m/>
    <m/>
    <x v="10"/>
    <m/>
    <m/>
  </r>
  <r>
    <x v="11"/>
    <x v="6"/>
    <x v="0"/>
    <x v="1"/>
    <x v="14"/>
    <m/>
    <m/>
    <m/>
    <m/>
    <m/>
    <m/>
    <m/>
    <x v="13"/>
    <m/>
    <m/>
    <m/>
    <x v="10"/>
    <m/>
    <m/>
  </r>
  <r>
    <x v="12"/>
    <x v="6"/>
    <x v="0"/>
    <x v="1"/>
    <x v="14"/>
    <m/>
    <m/>
    <m/>
    <m/>
    <m/>
    <m/>
    <n v="108"/>
    <x v="440"/>
    <m/>
    <m/>
    <d v="2012-09-28T00:00:00"/>
    <x v="82"/>
    <n v="3.78"/>
    <n v="7.5"/>
  </r>
  <r>
    <x v="13"/>
    <x v="1"/>
    <x v="1"/>
    <x v="1"/>
    <x v="1"/>
    <m/>
    <m/>
    <m/>
    <m/>
    <m/>
    <m/>
    <m/>
    <x v="13"/>
    <m/>
    <m/>
    <m/>
    <x v="10"/>
    <m/>
    <m/>
  </r>
  <r>
    <x v="11"/>
    <x v="6"/>
    <x v="2"/>
    <x v="10"/>
    <x v="7"/>
    <n v="53"/>
    <n v="2009"/>
    <s v="2.1x1.1"/>
    <n v="1.9"/>
    <n v="3054"/>
    <n v="1607"/>
    <m/>
    <x v="160"/>
    <n v="2.1578947368421053"/>
    <n v="2.6850032743942371"/>
    <d v="2011-10-31T00:00:00"/>
    <x v="10"/>
    <m/>
    <m/>
  </r>
  <r>
    <x v="12"/>
    <x v="6"/>
    <x v="2"/>
    <x v="10"/>
    <x v="7"/>
    <n v="54"/>
    <n v="2009"/>
    <s v="2.1x1.2"/>
    <n v="1.9"/>
    <n v="3054"/>
    <n v="1607"/>
    <n v="237"/>
    <x v="441"/>
    <n v="4.121052631578948"/>
    <n v="5.1277013752455796"/>
    <d v="2012-10-15T00:00:00"/>
    <x v="98"/>
    <n v="9.56"/>
    <n v="3.28"/>
  </r>
  <r>
    <x v="13"/>
    <x v="1"/>
    <x v="1"/>
    <x v="1"/>
    <x v="1"/>
    <m/>
    <m/>
    <m/>
    <m/>
    <m/>
    <m/>
    <m/>
    <x v="13"/>
    <m/>
    <m/>
    <m/>
    <x v="10"/>
    <m/>
    <m/>
  </r>
  <r>
    <x v="0"/>
    <x v="7"/>
    <x v="8"/>
    <x v="1"/>
    <x v="15"/>
    <n v="284"/>
    <m/>
    <m/>
    <n v="10"/>
    <m/>
    <m/>
    <m/>
    <x v="442"/>
    <n v="1.4495"/>
    <m/>
    <m/>
    <x v="10"/>
    <m/>
    <m/>
  </r>
  <r>
    <x v="0"/>
    <x v="7"/>
    <x v="8"/>
    <x v="1"/>
    <x v="15"/>
    <n v="509"/>
    <m/>
    <m/>
    <n v="10"/>
    <m/>
    <m/>
    <m/>
    <x v="443"/>
    <n v="0.40490000000000004"/>
    <m/>
    <m/>
    <x v="10"/>
    <m/>
    <m/>
  </r>
  <r>
    <x v="0"/>
    <x v="7"/>
    <x v="8"/>
    <x v="1"/>
    <x v="15"/>
    <n v="656"/>
    <m/>
    <m/>
    <n v="10"/>
    <m/>
    <m/>
    <m/>
    <x v="444"/>
    <n v="0.20899999999999999"/>
    <m/>
    <m/>
    <x v="10"/>
    <m/>
    <m/>
  </r>
  <r>
    <x v="6"/>
    <x v="7"/>
    <x v="8"/>
    <x v="1"/>
    <x v="15"/>
    <n v="284"/>
    <m/>
    <m/>
    <m/>
    <m/>
    <m/>
    <m/>
    <x v="13"/>
    <m/>
    <m/>
    <m/>
    <x v="10"/>
    <m/>
    <m/>
  </r>
  <r>
    <x v="6"/>
    <x v="7"/>
    <x v="8"/>
    <x v="1"/>
    <x v="15"/>
    <n v="509"/>
    <m/>
    <m/>
    <m/>
    <m/>
    <m/>
    <m/>
    <x v="13"/>
    <m/>
    <m/>
    <m/>
    <x v="10"/>
    <m/>
    <m/>
  </r>
  <r>
    <x v="6"/>
    <x v="7"/>
    <x v="8"/>
    <x v="1"/>
    <x v="15"/>
    <n v="656"/>
    <m/>
    <m/>
    <m/>
    <m/>
    <m/>
    <m/>
    <x v="13"/>
    <m/>
    <m/>
    <m/>
    <x v="10"/>
    <m/>
    <m/>
  </r>
  <r>
    <x v="7"/>
    <x v="7"/>
    <x v="8"/>
    <x v="1"/>
    <x v="15"/>
    <n v="284"/>
    <m/>
    <m/>
    <n v="10"/>
    <m/>
    <m/>
    <m/>
    <x v="445"/>
    <n v="1.8399999999999999"/>
    <m/>
    <d v="2007-10-16T00:00:00"/>
    <x v="27"/>
    <n v="3.19"/>
    <n v="11.8"/>
  </r>
  <r>
    <x v="7"/>
    <x v="7"/>
    <x v="8"/>
    <x v="1"/>
    <x v="15"/>
    <n v="509"/>
    <m/>
    <m/>
    <n v="10"/>
    <m/>
    <m/>
    <m/>
    <x v="157"/>
    <n v="2.0100000000000002"/>
    <m/>
    <d v="2007-10-16T00:00:00"/>
    <x v="27"/>
    <n v="3.26"/>
    <n v="9.4"/>
  </r>
  <r>
    <x v="7"/>
    <x v="7"/>
    <x v="8"/>
    <x v="1"/>
    <x v="15"/>
    <n v="656"/>
    <m/>
    <m/>
    <n v="10"/>
    <m/>
    <m/>
    <m/>
    <x v="446"/>
    <n v="5.4700000000000006"/>
    <m/>
    <d v="2007-10-16T00:00:00"/>
    <x v="12"/>
    <n v="3.2"/>
    <n v="7.7"/>
  </r>
  <r>
    <x v="8"/>
    <x v="7"/>
    <x v="8"/>
    <x v="1"/>
    <x v="15"/>
    <s v="284/509/656"/>
    <m/>
    <m/>
    <n v="10"/>
    <m/>
    <m/>
    <n v="290"/>
    <x v="447"/>
    <n v="9.66"/>
    <m/>
    <d v="2008-10-16T00:00:00"/>
    <x v="107"/>
    <n v="3.56"/>
    <n v="9.08"/>
  </r>
  <r>
    <x v="9"/>
    <x v="7"/>
    <x v="8"/>
    <x v="1"/>
    <x v="15"/>
    <n v="284"/>
    <m/>
    <m/>
    <n v="10"/>
    <m/>
    <m/>
    <m/>
    <x v="13"/>
    <n v="0"/>
    <m/>
    <m/>
    <x v="10"/>
    <m/>
    <m/>
  </r>
  <r>
    <x v="9"/>
    <x v="7"/>
    <x v="8"/>
    <x v="1"/>
    <x v="15"/>
    <n v="509"/>
    <m/>
    <m/>
    <n v="10"/>
    <m/>
    <m/>
    <m/>
    <x v="13"/>
    <n v="0"/>
    <m/>
    <m/>
    <x v="10"/>
    <m/>
    <m/>
  </r>
  <r>
    <x v="9"/>
    <x v="7"/>
    <x v="8"/>
    <x v="1"/>
    <x v="15"/>
    <n v="656"/>
    <m/>
    <m/>
    <n v="10"/>
    <m/>
    <m/>
    <m/>
    <x v="448"/>
    <n v="5.0999999999999996"/>
    <m/>
    <d v="2009-10-09T00:00:00"/>
    <x v="26"/>
    <n v="3.57"/>
    <n v="6.3"/>
  </r>
  <r>
    <x v="10"/>
    <x v="7"/>
    <x v="8"/>
    <x v="1"/>
    <x v="15"/>
    <m/>
    <m/>
    <m/>
    <n v="10"/>
    <m/>
    <m/>
    <n v="125"/>
    <x v="449"/>
    <n v="4.75"/>
    <m/>
    <d v="2010-10-17T00:00:00"/>
    <x v="4"/>
    <n v="3.21"/>
    <n v="8.3000000000000007"/>
  </r>
  <r>
    <x v="11"/>
    <x v="7"/>
    <x v="8"/>
    <x v="1"/>
    <x v="15"/>
    <m/>
    <m/>
    <m/>
    <n v="10"/>
    <m/>
    <m/>
    <n v="225"/>
    <x v="450"/>
    <n v="6.3689999999999998"/>
    <m/>
    <d v="2011-10-24T00:00:00"/>
    <x v="31"/>
    <n v="3.25"/>
    <n v="8.6"/>
  </r>
  <r>
    <x v="12"/>
    <x v="7"/>
    <x v="8"/>
    <x v="1"/>
    <x v="15"/>
    <m/>
    <m/>
    <m/>
    <n v="10"/>
    <m/>
    <m/>
    <m/>
    <x v="451"/>
    <n v="6.3840000000000003"/>
    <m/>
    <s v="15 &amp; 16 Oct"/>
    <x v="108"/>
    <n v="3.3759999999999999"/>
    <n v="8.9039999999999999"/>
  </r>
  <r>
    <x v="13"/>
    <x v="1"/>
    <x v="1"/>
    <x v="1"/>
    <x v="1"/>
    <m/>
    <m/>
    <m/>
    <m/>
    <m/>
    <m/>
    <m/>
    <x v="13"/>
    <m/>
    <m/>
    <m/>
    <x v="10"/>
    <m/>
    <m/>
  </r>
  <r>
    <x v="6"/>
    <x v="7"/>
    <x v="8"/>
    <x v="1"/>
    <x v="17"/>
    <m/>
    <m/>
    <m/>
    <n v="4"/>
    <m/>
    <m/>
    <n v="172"/>
    <x v="452"/>
    <n v="6.5"/>
    <m/>
    <d v="2006-10-18T00:00:00"/>
    <x v="4"/>
    <n v="3.51"/>
    <n v="7.8"/>
  </r>
  <r>
    <x v="7"/>
    <x v="7"/>
    <x v="8"/>
    <x v="1"/>
    <x v="17"/>
    <m/>
    <m/>
    <m/>
    <n v="4"/>
    <m/>
    <m/>
    <n v="223"/>
    <x v="453"/>
    <n v="9.15"/>
    <m/>
    <d v="2007-10-17T00:00:00"/>
    <x v="24"/>
    <n v="3.24"/>
    <n v="9.1999999999999993"/>
  </r>
  <r>
    <x v="8"/>
    <x v="7"/>
    <x v="8"/>
    <x v="1"/>
    <x v="17"/>
    <m/>
    <m/>
    <m/>
    <n v="4"/>
    <m/>
    <m/>
    <n v="173"/>
    <x v="454"/>
    <n v="6"/>
    <m/>
    <d v="2008-10-15T00:00:00"/>
    <x v="19"/>
    <n v="3.36"/>
    <n v="11"/>
  </r>
  <r>
    <x v="9"/>
    <x v="7"/>
    <x v="8"/>
    <x v="1"/>
    <x v="17"/>
    <m/>
    <m/>
    <m/>
    <n v="4"/>
    <m/>
    <m/>
    <n v="250"/>
    <x v="455"/>
    <n v="5.125"/>
    <m/>
    <d v="2009-10-11T00:00:00"/>
    <x v="23"/>
    <n v="3.69"/>
    <n v="6.1"/>
  </r>
  <r>
    <x v="10"/>
    <x v="7"/>
    <x v="8"/>
    <x v="1"/>
    <x v="17"/>
    <m/>
    <m/>
    <m/>
    <n v="4"/>
    <m/>
    <m/>
    <n v="274"/>
    <x v="456"/>
    <n v="4.4749999999999996"/>
    <m/>
    <d v="2010-10-17T00:00:00"/>
    <x v="21"/>
    <n v="3.23"/>
    <n v="12.2"/>
  </r>
  <r>
    <x v="11"/>
    <x v="7"/>
    <x v="8"/>
    <x v="1"/>
    <x v="17"/>
    <m/>
    <m/>
    <m/>
    <n v="4"/>
    <m/>
    <m/>
    <n v="205"/>
    <x v="457"/>
    <n v="4.5425000000000004"/>
    <m/>
    <d v="2011-10-26T00:00:00"/>
    <x v="31"/>
    <n v="3.46"/>
    <n v="8.6"/>
  </r>
  <r>
    <x v="12"/>
    <x v="7"/>
    <x v="8"/>
    <x v="1"/>
    <x v="17"/>
    <m/>
    <m/>
    <m/>
    <n v="4"/>
    <m/>
    <m/>
    <n v="205"/>
    <x v="458"/>
    <n v="7.3075000000000001"/>
    <m/>
    <d v="2012-10-13T00:00:00"/>
    <x v="47"/>
    <n v="3.415"/>
    <n v="9.6999999999999993"/>
  </r>
  <r>
    <x v="13"/>
    <x v="1"/>
    <x v="1"/>
    <x v="1"/>
    <x v="1"/>
    <m/>
    <m/>
    <m/>
    <s v=" "/>
    <m/>
    <m/>
    <m/>
    <x v="13"/>
    <m/>
    <m/>
    <m/>
    <x v="10"/>
    <m/>
    <m/>
  </r>
  <r>
    <x v="6"/>
    <x v="7"/>
    <x v="8"/>
    <x v="1"/>
    <x v="21"/>
    <m/>
    <m/>
    <m/>
    <n v="4"/>
    <m/>
    <m/>
    <n v="175"/>
    <x v="459"/>
    <n v="5.55"/>
    <m/>
    <d v="2006-10-17T00:00:00"/>
    <x v="21"/>
    <n v="3.5"/>
    <n v="6.7"/>
  </r>
  <r>
    <x v="7"/>
    <x v="7"/>
    <x v="8"/>
    <x v="1"/>
    <x v="21"/>
    <m/>
    <m/>
    <m/>
    <n v="4"/>
    <m/>
    <m/>
    <n v="174"/>
    <x v="304"/>
    <n v="4.7"/>
    <m/>
    <d v="2007-10-15T00:00:00"/>
    <x v="28"/>
    <n v="3.24"/>
    <n v="9"/>
  </r>
  <r>
    <x v="8"/>
    <x v="7"/>
    <x v="8"/>
    <x v="1"/>
    <x v="21"/>
    <m/>
    <m/>
    <m/>
    <n v="4"/>
    <m/>
    <m/>
    <n v="185"/>
    <x v="425"/>
    <n v="5.6749999999999998"/>
    <m/>
    <d v="2008-10-20T00:00:00"/>
    <x v="62"/>
    <n v="3.42"/>
    <n v="9.68"/>
  </r>
  <r>
    <x v="9"/>
    <x v="7"/>
    <x v="8"/>
    <x v="1"/>
    <x v="21"/>
    <m/>
    <m/>
    <m/>
    <n v="4"/>
    <m/>
    <m/>
    <n v="215"/>
    <x v="136"/>
    <n v="3.125"/>
    <m/>
    <d v="2009-10-08T00:00:00"/>
    <x v="63"/>
    <n v="3.72"/>
    <n v="5.4"/>
  </r>
  <r>
    <x v="10"/>
    <x v="7"/>
    <x v="8"/>
    <x v="1"/>
    <x v="21"/>
    <m/>
    <m/>
    <m/>
    <n v="4"/>
    <m/>
    <m/>
    <n v="150"/>
    <x v="72"/>
    <n v="2.5499999999999998"/>
    <m/>
    <d v="2010-10-17T00:00:00"/>
    <x v="23"/>
    <n v="3.36"/>
    <n v="10"/>
  </r>
  <r>
    <x v="11"/>
    <x v="7"/>
    <x v="8"/>
    <x v="1"/>
    <x v="21"/>
    <m/>
    <m/>
    <m/>
    <n v="4"/>
    <m/>
    <m/>
    <n v="160"/>
    <x v="460"/>
    <n v="3.4275000000000002"/>
    <m/>
    <d v="2011-10-27T00:00:00"/>
    <x v="21"/>
    <n v="3.52"/>
    <n v="8.1999999999999993"/>
  </r>
  <r>
    <x v="12"/>
    <x v="7"/>
    <x v="8"/>
    <x v="1"/>
    <x v="21"/>
    <m/>
    <m/>
    <m/>
    <n v="4"/>
    <m/>
    <m/>
    <n v="170"/>
    <x v="461"/>
    <n v="4.3224999999999998"/>
    <m/>
    <d v="2012-10-13T00:00:00"/>
    <x v="109"/>
    <n v="3.4233333333333333"/>
    <n v="8.4500000000000011"/>
  </r>
  <r>
    <x v="13"/>
    <x v="1"/>
    <x v="1"/>
    <x v="1"/>
    <x v="1"/>
    <m/>
    <m/>
    <m/>
    <m/>
    <m/>
    <m/>
    <m/>
    <x v="13"/>
    <m/>
    <m/>
    <m/>
    <x v="10"/>
    <m/>
    <m/>
  </r>
  <r>
    <x v="8"/>
    <x v="8"/>
    <x v="8"/>
    <x v="1"/>
    <x v="17"/>
    <m/>
    <m/>
    <m/>
    <n v="4"/>
    <m/>
    <m/>
    <m/>
    <x v="462"/>
    <n v="4.0125000000000002"/>
    <m/>
    <d v="2008-10-20T00:00:00"/>
    <x v="19"/>
    <n v="3.37"/>
    <n v="9"/>
  </r>
  <r>
    <x v="9"/>
    <x v="8"/>
    <x v="8"/>
    <x v="1"/>
    <x v="17"/>
    <m/>
    <m/>
    <m/>
    <n v="4"/>
    <m/>
    <m/>
    <n v="245"/>
    <x v="80"/>
    <n v="2.65"/>
    <m/>
    <d v="2009-09-30T00:00:00"/>
    <x v="6"/>
    <n v="3.95"/>
    <n v="6.6"/>
  </r>
  <r>
    <x v="10"/>
    <x v="8"/>
    <x v="8"/>
    <x v="1"/>
    <x v="17"/>
    <m/>
    <m/>
    <m/>
    <n v="4"/>
    <m/>
    <m/>
    <n v="165"/>
    <x v="224"/>
    <n v="2.4750000000000001"/>
    <m/>
    <d v="2010-10-17T00:00:00"/>
    <x v="28"/>
    <n v="3.55"/>
    <n v="8.1"/>
  </r>
  <r>
    <x v="11"/>
    <x v="8"/>
    <x v="8"/>
    <x v="1"/>
    <x v="17"/>
    <m/>
    <m/>
    <m/>
    <n v="4"/>
    <m/>
    <m/>
    <n v="170"/>
    <x v="463"/>
    <n v="3.2025000000000001"/>
    <m/>
    <d v="2011-10-25T00:00:00"/>
    <x v="20"/>
    <n v="3.5"/>
    <n v="8.4"/>
  </r>
  <r>
    <x v="12"/>
    <x v="8"/>
    <x v="8"/>
    <x v="1"/>
    <x v="17"/>
    <m/>
    <m/>
    <m/>
    <n v="4"/>
    <m/>
    <m/>
    <m/>
    <x v="464"/>
    <n v="2.8525"/>
    <m/>
    <d v="2012-10-12T00:00:00"/>
    <x v="4"/>
    <n v="3.5"/>
    <n v="8.1"/>
  </r>
  <r>
    <x v="13"/>
    <x v="1"/>
    <x v="1"/>
    <x v="1"/>
    <x v="1"/>
    <m/>
    <m/>
    <m/>
    <m/>
    <m/>
    <m/>
    <m/>
    <x v="13"/>
    <m/>
    <m/>
    <m/>
    <x v="10"/>
    <m/>
    <m/>
  </r>
  <r>
    <x v="8"/>
    <x v="8"/>
    <x v="8"/>
    <x v="1"/>
    <x v="22"/>
    <m/>
    <m/>
    <m/>
    <n v="4"/>
    <m/>
    <m/>
    <n v="210"/>
    <x v="465"/>
    <n v="8.6999999999999993"/>
    <m/>
    <d v="2008-10-20T00:00:00"/>
    <x v="44"/>
    <n v="3.34"/>
    <n v="9.83"/>
  </r>
  <r>
    <x v="9"/>
    <x v="8"/>
    <x v="8"/>
    <x v="1"/>
    <x v="22"/>
    <m/>
    <m/>
    <m/>
    <n v="4"/>
    <m/>
    <m/>
    <n v="220"/>
    <x v="58"/>
    <n v="3.3250000000000002"/>
    <m/>
    <d v="2009-10-07T00:00:00"/>
    <x v="27"/>
    <n v="3.49"/>
    <n v="5.7"/>
  </r>
  <r>
    <x v="10"/>
    <x v="8"/>
    <x v="8"/>
    <x v="1"/>
    <x v="22"/>
    <m/>
    <m/>
    <m/>
    <n v="4"/>
    <m/>
    <m/>
    <n v="148"/>
    <x v="72"/>
    <n v="2.5499999999999998"/>
    <m/>
    <d v="2010-10-16T00:00:00"/>
    <x v="22"/>
    <n v="3.31"/>
    <n v="9.4"/>
  </r>
  <r>
    <x v="11"/>
    <x v="8"/>
    <x v="8"/>
    <x v="1"/>
    <x v="22"/>
    <m/>
    <m/>
    <m/>
    <n v="4"/>
    <m/>
    <m/>
    <n v="130"/>
    <x v="466"/>
    <n v="7.01"/>
    <m/>
    <d v="2011-10-25T00:00:00"/>
    <x v="47"/>
    <n v="3.41"/>
    <n v="8.6"/>
  </r>
  <r>
    <x v="12"/>
    <x v="8"/>
    <x v="8"/>
    <x v="1"/>
    <x v="22"/>
    <m/>
    <m/>
    <m/>
    <n v="4"/>
    <m/>
    <m/>
    <n v="150"/>
    <x v="467"/>
    <n v="5.76"/>
    <m/>
    <s v="11 &amp; 12 Oct"/>
    <x v="29"/>
    <n v="3.4249999999999998"/>
    <n v="8.3049999999999997"/>
  </r>
  <r>
    <x v="13"/>
    <x v="1"/>
    <x v="1"/>
    <x v="1"/>
    <x v="1"/>
    <m/>
    <m/>
    <m/>
    <m/>
    <m/>
    <m/>
    <m/>
    <x v="13"/>
    <m/>
    <m/>
    <m/>
    <x v="10"/>
    <m/>
    <m/>
  </r>
  <r>
    <x v="8"/>
    <x v="8"/>
    <x v="8"/>
    <x v="1"/>
    <x v="4"/>
    <m/>
    <m/>
    <m/>
    <n v="4"/>
    <m/>
    <m/>
    <n v="152.5"/>
    <x v="6"/>
    <n v="2.6749999999999998"/>
    <m/>
    <d v="2008-10-20T00:00:00"/>
    <x v="15"/>
    <n v="3.72"/>
    <n v="6.53"/>
  </r>
  <r>
    <x v="9"/>
    <x v="8"/>
    <x v="8"/>
    <x v="1"/>
    <x v="4"/>
    <m/>
    <m/>
    <m/>
    <n v="4"/>
    <m/>
    <m/>
    <n v="240"/>
    <x v="82"/>
    <n v="1.875"/>
    <m/>
    <d v="2009-10-07T00:00:00"/>
    <x v="47"/>
    <n v="3.96"/>
    <n v="4"/>
  </r>
  <r>
    <x v="10"/>
    <x v="8"/>
    <x v="8"/>
    <x v="1"/>
    <x v="4"/>
    <m/>
    <m/>
    <m/>
    <n v="4"/>
    <m/>
    <m/>
    <n v="145"/>
    <x v="202"/>
    <n v="1.05"/>
    <m/>
    <d v="2010-10-16T00:00:00"/>
    <x v="1"/>
    <n v="3.46"/>
    <n v="7.9"/>
  </r>
  <r>
    <x v="11"/>
    <x v="8"/>
    <x v="8"/>
    <x v="1"/>
    <x v="4"/>
    <m/>
    <m/>
    <m/>
    <n v="4"/>
    <m/>
    <m/>
    <n v="145"/>
    <x v="468"/>
    <n v="1.46"/>
    <m/>
    <d v="2011-10-26T00:00:00"/>
    <x v="29"/>
    <n v="3.63"/>
    <n v="5.4"/>
  </r>
  <r>
    <x v="12"/>
    <x v="8"/>
    <x v="8"/>
    <x v="1"/>
    <x v="4"/>
    <m/>
    <m/>
    <m/>
    <n v="4"/>
    <m/>
    <m/>
    <n v="125"/>
    <x v="469"/>
    <n v="1.4724999999999999"/>
    <m/>
    <d v="2012-10-11T00:00:00"/>
    <x v="110"/>
    <n v="3.64"/>
    <n v="5.43"/>
  </r>
  <r>
    <x v="13"/>
    <x v="1"/>
    <x v="1"/>
    <x v="1"/>
    <x v="1"/>
    <m/>
    <m/>
    <m/>
    <m/>
    <m/>
    <m/>
    <m/>
    <x v="13"/>
    <m/>
    <m/>
    <m/>
    <x v="10"/>
    <m/>
    <m/>
  </r>
  <r>
    <x v="3"/>
    <x v="9"/>
    <x v="8"/>
    <x v="1"/>
    <x v="4"/>
    <n v="49"/>
    <n v="2001"/>
    <s v="9' x 5'"/>
    <n v="4"/>
    <m/>
    <m/>
    <n v="165"/>
    <x v="470"/>
    <n v="4.05"/>
    <m/>
    <d v="2003-10-18T00:00:00"/>
    <x v="6"/>
    <n v="3.51"/>
    <n v="5.2"/>
  </r>
  <r>
    <x v="4"/>
    <x v="9"/>
    <x v="8"/>
    <x v="1"/>
    <x v="4"/>
    <n v="49"/>
    <n v="2001"/>
    <s v="9' x 5'"/>
    <n v="4"/>
    <m/>
    <m/>
    <n v="157"/>
    <x v="471"/>
    <n v="3.375"/>
    <m/>
    <d v="2004-10-08T00:00:00"/>
    <x v="1"/>
    <n v="3.52"/>
    <n v="7.1"/>
  </r>
  <r>
    <x v="5"/>
    <x v="9"/>
    <x v="8"/>
    <x v="1"/>
    <x v="4"/>
    <n v="49"/>
    <n v="2001"/>
    <s v="9' x 5'"/>
    <n v="4"/>
    <m/>
    <m/>
    <n v="130"/>
    <x v="178"/>
    <n v="2.4"/>
    <m/>
    <d v="2005-10-16T00:00:00"/>
    <x v="5"/>
    <n v="3.01"/>
    <n v="9.4"/>
  </r>
  <r>
    <x v="6"/>
    <x v="9"/>
    <x v="8"/>
    <x v="1"/>
    <x v="4"/>
    <n v="49"/>
    <n v="2001"/>
    <s v="9' x 5'"/>
    <n v="4"/>
    <m/>
    <m/>
    <n v="132"/>
    <x v="50"/>
    <n v="2.7749999999999999"/>
    <m/>
    <d v="2006-10-07T00:00:00"/>
    <x v="1"/>
    <n v="3.62"/>
    <n v="6.1"/>
  </r>
  <r>
    <x v="7"/>
    <x v="9"/>
    <x v="8"/>
    <x v="1"/>
    <x v="4"/>
    <n v="49"/>
    <n v="2001"/>
    <s v="9' x 5'"/>
    <n v="4"/>
    <m/>
    <m/>
    <n v="163"/>
    <x v="24"/>
    <n v="3.95"/>
    <m/>
    <d v="2007-10-20T00:00:00"/>
    <x v="27"/>
    <n v="3.51"/>
    <n v="8.6"/>
  </r>
  <r>
    <x v="8"/>
    <x v="9"/>
    <x v="8"/>
    <x v="1"/>
    <x v="4"/>
    <n v="49"/>
    <n v="2001"/>
    <s v="9' x 5'"/>
    <n v="4"/>
    <m/>
    <m/>
    <n v="145"/>
    <x v="472"/>
    <n v="4.25"/>
    <m/>
    <d v="2008-10-12T00:00:00"/>
    <x v="20"/>
    <n v="3.39"/>
    <n v="3.33"/>
  </r>
  <r>
    <x v="9"/>
    <x v="9"/>
    <x v="8"/>
    <x v="1"/>
    <x v="4"/>
    <n v="49"/>
    <n v="2001"/>
    <s v="9' x 5'"/>
    <n v="4"/>
    <m/>
    <m/>
    <n v="252"/>
    <x v="158"/>
    <n v="5.25"/>
    <m/>
    <d v="2009-10-09T00:00:00"/>
    <x v="27"/>
    <n v="3.49"/>
    <n v="7.2"/>
  </r>
  <r>
    <x v="10"/>
    <x v="9"/>
    <x v="8"/>
    <x v="1"/>
    <x v="4"/>
    <n v="49"/>
    <n v="2001"/>
    <s v="9' x 5'"/>
    <n v="4"/>
    <m/>
    <m/>
    <n v="140"/>
    <x v="473"/>
    <n v="2.9"/>
    <m/>
    <d v="2010-10-16T00:00:00"/>
    <x v="1"/>
    <n v="3.38"/>
    <n v="8"/>
  </r>
  <r>
    <x v="11"/>
    <x v="9"/>
    <x v="8"/>
    <x v="1"/>
    <x v="4"/>
    <n v="49"/>
    <n v="2001"/>
    <s v="9' x 5'"/>
    <n v="4"/>
    <m/>
    <m/>
    <n v="118"/>
    <x v="474"/>
    <n v="1.69"/>
    <m/>
    <d v="2011-10-29T00:00:00"/>
    <x v="13"/>
    <n v="3.32"/>
    <n v="7.7"/>
  </r>
  <r>
    <x v="12"/>
    <x v="9"/>
    <x v="8"/>
    <x v="1"/>
    <x v="4"/>
    <n v="49"/>
    <n v="2001"/>
    <s v="9' x 5'"/>
    <n v="4"/>
    <m/>
    <m/>
    <m/>
    <x v="475"/>
    <n v="2.73"/>
    <m/>
    <d v="2012-10-14T00:00:00"/>
    <x v="19"/>
    <n v="3.5999999999999996"/>
    <n v="7.9450000000000003"/>
  </r>
  <r>
    <x v="13"/>
    <x v="1"/>
    <x v="1"/>
    <x v="1"/>
    <x v="1"/>
    <m/>
    <m/>
    <m/>
    <m/>
    <m/>
    <m/>
    <m/>
    <x v="13"/>
    <m/>
    <m/>
    <m/>
    <x v="10"/>
    <m/>
    <m/>
  </r>
  <r>
    <x v="10"/>
    <x v="10"/>
    <x v="0"/>
    <x v="16"/>
    <x v="8"/>
    <n v="49"/>
    <n v="2008"/>
    <s v="2.1 x 1.2"/>
    <n v="6.1499999999999995"/>
    <n v="10445"/>
    <n v="1698.3739837398375"/>
    <m/>
    <x v="43"/>
    <n v="1.7723577235772361"/>
    <n v="2.0871230253709907"/>
    <d v="2010-10-30T00:00:00"/>
    <x v="12"/>
    <n v="2.96"/>
    <n v="9.9"/>
  </r>
  <r>
    <x v="11"/>
    <x v="10"/>
    <x v="0"/>
    <x v="17"/>
    <x v="8"/>
    <n v="49"/>
    <n v="2008"/>
    <s v="2.1 x 1.2"/>
    <n v="6.1499999999999995"/>
    <n v="10445"/>
    <n v="1698.3739837398375"/>
    <m/>
    <x v="476"/>
    <n v="6.3203252032520325"/>
    <n v="7.4427955959789376"/>
    <d v="2011-11-06T00:00:00"/>
    <x v="35"/>
    <n v="3.06"/>
    <n v="10.9"/>
  </r>
  <r>
    <x v="12"/>
    <x v="10"/>
    <x v="0"/>
    <x v="17"/>
    <x v="8"/>
    <n v="49"/>
    <n v="2008"/>
    <s v="2.1 x 1.2"/>
    <n v="6.1499999999999995"/>
    <n v="10445"/>
    <n v="1698.3739837398375"/>
    <m/>
    <x v="477"/>
    <n v="5.923577235772358"/>
    <n v="6.9755864049784586"/>
    <s v="26 &amp; 27 Oct"/>
    <x v="111"/>
    <n v="3.0575000000000001"/>
    <n v="9.98"/>
  </r>
  <r>
    <x v="13"/>
    <x v="1"/>
    <x v="1"/>
    <x v="1"/>
    <x v="1"/>
    <m/>
    <m/>
    <m/>
    <m/>
    <m/>
    <m/>
    <m/>
    <x v="13"/>
    <m/>
    <m/>
    <m/>
    <x v="10"/>
    <m/>
    <m/>
  </r>
  <r>
    <x v="10"/>
    <x v="10"/>
    <x v="0"/>
    <x v="18"/>
    <x v="4"/>
    <n v="643"/>
    <n v="2008"/>
    <s v="2.1 x 1.2"/>
    <n v="7.3900000000000006"/>
    <n v="12550"/>
    <n v="1698.2408660351825"/>
    <n v="162"/>
    <x v="41"/>
    <n v="3.0581867388362651"/>
    <n v="3.6015936254980079"/>
    <d v="2010-10-15T00:00:00"/>
    <x v="23"/>
    <n v="3.51"/>
    <n v="5.3"/>
  </r>
  <r>
    <x v="11"/>
    <x v="10"/>
    <x v="0"/>
    <x v="18"/>
    <x v="4"/>
    <n v="643"/>
    <n v="2008"/>
    <s v="2.1 x 1.2"/>
    <n v="7.3900000000000006"/>
    <n v="12550"/>
    <n v="1698.2408660351825"/>
    <n v="190"/>
    <x v="478"/>
    <n v="4.4167794316644109"/>
    <n v="5.201593625498008"/>
    <d v="2011-10-29T00:00:00"/>
    <x v="20"/>
    <n v="3.61"/>
    <n v="5"/>
  </r>
  <r>
    <x v="12"/>
    <x v="10"/>
    <x v="0"/>
    <x v="18"/>
    <x v="4"/>
    <n v="643"/>
    <n v="2008"/>
    <s v="2.1 x 1.2"/>
    <n v="7.3900000000000006"/>
    <n v="12550"/>
    <n v="1698.2408660351825"/>
    <n v="160"/>
    <x v="479"/>
    <n v="5.549391069012179"/>
    <n v="6.5354581673306784"/>
    <s v="11 &amp; 10 Oct"/>
    <x v="112"/>
    <n v="3.5833333333333335"/>
    <n v="5.5666666666666664"/>
  </r>
  <r>
    <x v="13"/>
    <x v="1"/>
    <x v="1"/>
    <x v="1"/>
    <x v="1"/>
    <m/>
    <m/>
    <m/>
    <m/>
    <m/>
    <m/>
    <m/>
    <x v="13"/>
    <m/>
    <m/>
    <m/>
    <x v="10"/>
    <m/>
    <m/>
  </r>
  <r>
    <x v="13"/>
    <x v="1"/>
    <x v="1"/>
    <x v="1"/>
    <x v="1"/>
    <m/>
    <m/>
    <m/>
    <m/>
    <m/>
    <m/>
    <m/>
    <x v="13"/>
    <m/>
    <m/>
    <m/>
    <x v="10"/>
    <m/>
    <m/>
  </r>
  <r>
    <x v="10"/>
    <x v="11"/>
    <x v="9"/>
    <x v="1"/>
    <x v="17"/>
    <m/>
    <m/>
    <m/>
    <m/>
    <m/>
    <m/>
    <m/>
    <x v="357"/>
    <m/>
    <m/>
    <d v="2010-10-13T00:00:00"/>
    <x v="13"/>
    <n v="3.13"/>
    <n v="13.4"/>
  </r>
  <r>
    <x v="11"/>
    <x v="11"/>
    <x v="9"/>
    <x v="1"/>
    <x v="17"/>
    <m/>
    <m/>
    <m/>
    <m/>
    <m/>
    <m/>
    <n v="163"/>
    <x v="480"/>
    <m/>
    <m/>
    <m/>
    <x v="4"/>
    <n v="3.49"/>
    <n v="6.5"/>
  </r>
  <r>
    <x v="12"/>
    <x v="11"/>
    <x v="9"/>
    <x v="1"/>
    <x v="17"/>
    <m/>
    <m/>
    <m/>
    <m/>
    <m/>
    <m/>
    <n v="143"/>
    <x v="481"/>
    <m/>
    <m/>
    <d v="2012-10-08T00:00:00"/>
    <x v="6"/>
    <n v="3.4"/>
    <n v="7.98"/>
  </r>
  <r>
    <x v="13"/>
    <x v="1"/>
    <x v="1"/>
    <x v="1"/>
    <x v="1"/>
    <m/>
    <m/>
    <m/>
    <m/>
    <m/>
    <m/>
    <m/>
    <x v="13"/>
    <m/>
    <m/>
    <m/>
    <x v="10"/>
    <m/>
    <m/>
  </r>
  <r>
    <x v="10"/>
    <x v="11"/>
    <x v="9"/>
    <x v="1"/>
    <x v="22"/>
    <m/>
    <m/>
    <m/>
    <m/>
    <m/>
    <m/>
    <n v="175"/>
    <x v="160"/>
    <m/>
    <m/>
    <d v="2010-10-13T00:00:00"/>
    <x v="5"/>
    <n v="3.37"/>
    <n v="9.5"/>
  </r>
  <r>
    <x v="11"/>
    <x v="11"/>
    <x v="9"/>
    <x v="1"/>
    <x v="22"/>
    <m/>
    <m/>
    <m/>
    <m/>
    <m/>
    <m/>
    <n v="145"/>
    <x v="482"/>
    <m/>
    <m/>
    <d v="2011-10-18T00:00:00"/>
    <x v="19"/>
    <n v="3.32"/>
    <n v="7.05"/>
  </r>
  <r>
    <x v="12"/>
    <x v="11"/>
    <x v="9"/>
    <x v="1"/>
    <x v="22"/>
    <m/>
    <m/>
    <m/>
    <m/>
    <m/>
    <m/>
    <m/>
    <x v="134"/>
    <m/>
    <m/>
    <d v="2012-10-07T00:00:00"/>
    <x v="14"/>
    <n v="3.34"/>
    <n v="9.07"/>
  </r>
  <r>
    <x v="13"/>
    <x v="1"/>
    <x v="1"/>
    <x v="1"/>
    <x v="1"/>
    <m/>
    <m/>
    <m/>
    <m/>
    <m/>
    <m/>
    <m/>
    <x v="13"/>
    <m/>
    <m/>
    <m/>
    <x v="10"/>
    <m/>
    <m/>
  </r>
  <r>
    <x v="13"/>
    <x v="1"/>
    <x v="1"/>
    <x v="1"/>
    <x v="1"/>
    <m/>
    <m/>
    <m/>
    <m/>
    <m/>
    <m/>
    <m/>
    <x v="13"/>
    <m/>
    <m/>
    <m/>
    <x v="10"/>
    <m/>
    <m/>
  </r>
  <r>
    <x v="10"/>
    <x v="12"/>
    <x v="9"/>
    <x v="1"/>
    <x v="0"/>
    <m/>
    <m/>
    <m/>
    <m/>
    <m/>
    <m/>
    <n v="100"/>
    <x v="202"/>
    <m/>
    <m/>
    <d v="2010-10-04T00:00:00"/>
    <x v="20"/>
    <n v="3.25"/>
    <n v="7.7"/>
  </r>
  <r>
    <x v="13"/>
    <x v="1"/>
    <x v="1"/>
    <x v="1"/>
    <x v="1"/>
    <m/>
    <m/>
    <m/>
    <m/>
    <m/>
    <m/>
    <m/>
    <x v="13"/>
    <m/>
    <m/>
    <m/>
    <x v="10"/>
    <m/>
    <m/>
  </r>
  <r>
    <x v="10"/>
    <x v="13"/>
    <x v="9"/>
    <x v="1"/>
    <x v="4"/>
    <m/>
    <m/>
    <m/>
    <m/>
    <m/>
    <m/>
    <n v="113"/>
    <x v="87"/>
    <m/>
    <m/>
    <d v="2010-10-12T00:00:00"/>
    <x v="27"/>
    <n v="3.29"/>
    <n v="9.3000000000000007"/>
  </r>
  <r>
    <x v="12"/>
    <x v="13"/>
    <x v="9"/>
    <x v="1"/>
    <x v="4"/>
    <m/>
    <m/>
    <m/>
    <m/>
    <m/>
    <m/>
    <n v="125"/>
    <x v="483"/>
    <m/>
    <m/>
    <d v="2012-10-10T00:00:00"/>
    <x v="13"/>
    <n v="3.52"/>
    <n v="6.2"/>
  </r>
  <r>
    <x v="13"/>
    <x v="1"/>
    <x v="1"/>
    <x v="1"/>
    <x v="1"/>
    <m/>
    <m/>
    <m/>
    <m/>
    <m/>
    <m/>
    <m/>
    <x v="13"/>
    <m/>
    <m/>
    <m/>
    <x v="10"/>
    <m/>
    <m/>
  </r>
  <r>
    <x v="11"/>
    <x v="13"/>
    <x v="9"/>
    <x v="1"/>
    <x v="22"/>
    <m/>
    <m/>
    <m/>
    <m/>
    <m/>
    <m/>
    <n v="180"/>
    <x v="484"/>
    <m/>
    <m/>
    <d v="2011-10-21T00:00:00"/>
    <x v="6"/>
    <n v="3.24"/>
    <n v="8.4"/>
  </r>
  <r>
    <x v="12"/>
    <x v="13"/>
    <x v="9"/>
    <x v="1"/>
    <x v="22"/>
    <m/>
    <m/>
    <m/>
    <m/>
    <m/>
    <m/>
    <n v="133"/>
    <x v="485"/>
    <m/>
    <m/>
    <d v="2012-10-10T00:00:00"/>
    <x v="6"/>
    <n v="3.36"/>
    <n v="9"/>
  </r>
  <r>
    <x v="13"/>
    <x v="1"/>
    <x v="1"/>
    <x v="1"/>
    <x v="1"/>
    <m/>
    <m/>
    <m/>
    <m/>
    <m/>
    <m/>
    <m/>
    <x v="13"/>
    <m/>
    <m/>
    <m/>
    <x v="10"/>
    <m/>
    <m/>
  </r>
  <r>
    <x v="11"/>
    <x v="14"/>
    <x v="9"/>
    <x v="1"/>
    <x v="0"/>
    <m/>
    <m/>
    <m/>
    <m/>
    <m/>
    <m/>
    <m/>
    <x v="486"/>
    <m/>
    <m/>
    <d v="2011-10-28T00:00:00"/>
    <x v="14"/>
    <n v="3.4"/>
    <n v="10.6"/>
  </r>
  <r>
    <x v="12"/>
    <x v="14"/>
    <x v="9"/>
    <x v="1"/>
    <x v="0"/>
    <m/>
    <m/>
    <m/>
    <m/>
    <m/>
    <m/>
    <m/>
    <x v="13"/>
    <m/>
    <m/>
    <m/>
    <x v="10"/>
    <m/>
    <m/>
  </r>
  <r>
    <x v="13"/>
    <x v="1"/>
    <x v="1"/>
    <x v="1"/>
    <x v="1"/>
    <m/>
    <m/>
    <m/>
    <m/>
    <m/>
    <m/>
    <m/>
    <x v="13"/>
    <m/>
    <m/>
    <m/>
    <x v="10"/>
    <m/>
    <m/>
  </r>
  <r>
    <x v="10"/>
    <x v="5"/>
    <x v="8"/>
    <x v="1"/>
    <x v="4"/>
    <m/>
    <m/>
    <m/>
    <m/>
    <m/>
    <m/>
    <n v="120"/>
    <x v="89"/>
    <m/>
    <m/>
    <d v="2010-10-15T00:00:00"/>
    <x v="41"/>
    <n v="3.35"/>
    <n v="8.9"/>
  </r>
  <r>
    <x v="11"/>
    <x v="5"/>
    <x v="8"/>
    <x v="1"/>
    <x v="4"/>
    <m/>
    <m/>
    <m/>
    <m/>
    <m/>
    <m/>
    <m/>
    <x v="487"/>
    <m/>
    <m/>
    <d v="2011-10-28T00:00:00"/>
    <x v="29"/>
    <n v="3.63"/>
    <n v="5.4"/>
  </r>
  <r>
    <x v="12"/>
    <x v="5"/>
    <x v="8"/>
    <x v="1"/>
    <x v="4"/>
    <m/>
    <m/>
    <m/>
    <m/>
    <m/>
    <m/>
    <m/>
    <x v="488"/>
    <m/>
    <m/>
    <d v="2012-10-07T00:00:00"/>
    <x v="14"/>
    <n v="3.66"/>
    <n v="5.5"/>
  </r>
  <r>
    <x v="13"/>
    <x v="1"/>
    <x v="1"/>
    <x v="1"/>
    <x v="1"/>
    <m/>
    <m/>
    <m/>
    <m/>
    <m/>
    <m/>
    <m/>
    <x v="13"/>
    <m/>
    <m/>
    <m/>
    <x v="10"/>
    <m/>
    <m/>
  </r>
  <r>
    <x v="10"/>
    <x v="15"/>
    <x v="8"/>
    <x v="1"/>
    <x v="7"/>
    <m/>
    <m/>
    <m/>
    <m/>
    <m/>
    <m/>
    <m/>
    <x v="489"/>
    <m/>
    <m/>
    <d v="2010-10-29T00:00:00"/>
    <x v="20"/>
    <n v="3.1"/>
    <n v="10.199999999999999"/>
  </r>
  <r>
    <x v="11"/>
    <x v="15"/>
    <x v="8"/>
    <x v="1"/>
    <x v="7"/>
    <m/>
    <m/>
    <m/>
    <m/>
    <m/>
    <m/>
    <n v="165"/>
    <x v="490"/>
    <m/>
    <m/>
    <d v="2011-11-03T00:00:00"/>
    <x v="5"/>
    <n v="3.4"/>
    <n v="10.6"/>
  </r>
  <r>
    <x v="12"/>
    <x v="15"/>
    <x v="8"/>
    <x v="1"/>
    <x v="7"/>
    <m/>
    <m/>
    <m/>
    <m/>
    <m/>
    <m/>
    <m/>
    <x v="491"/>
    <m/>
    <m/>
    <s v="24 &amp; 25 Oct"/>
    <x v="113"/>
    <n v="3.1199999999999997"/>
    <n v="9.4100000000000019"/>
  </r>
  <r>
    <x v="13"/>
    <x v="1"/>
    <x v="1"/>
    <x v="1"/>
    <x v="1"/>
    <m/>
    <m/>
    <m/>
    <m/>
    <m/>
    <m/>
    <m/>
    <x v="13"/>
    <m/>
    <m/>
    <m/>
    <x v="10"/>
    <m/>
    <m/>
  </r>
  <r>
    <x v="11"/>
    <x v="16"/>
    <x v="9"/>
    <x v="1"/>
    <x v="4"/>
    <m/>
    <m/>
    <m/>
    <m/>
    <m/>
    <m/>
    <n v="220"/>
    <x v="492"/>
    <m/>
    <m/>
    <d v="2011-10-30T00:00:00"/>
    <x v="19"/>
    <n v="3.49"/>
    <n v="6.45"/>
  </r>
  <r>
    <x v="12"/>
    <x v="16"/>
    <x v="9"/>
    <x v="1"/>
    <x v="4"/>
    <m/>
    <m/>
    <m/>
    <m/>
    <m/>
    <m/>
    <n v="142"/>
    <x v="493"/>
    <m/>
    <m/>
    <d v="2012-10-04T00:00:00"/>
    <x v="109"/>
    <n v="5.0200000000000005"/>
    <n v="6.5666666666666673"/>
  </r>
  <r>
    <x v="13"/>
    <x v="1"/>
    <x v="1"/>
    <x v="1"/>
    <x v="1"/>
    <m/>
    <m/>
    <m/>
    <m/>
    <m/>
    <m/>
    <m/>
    <x v="13"/>
    <m/>
    <m/>
    <m/>
    <x v="10"/>
    <m/>
    <m/>
  </r>
  <r>
    <x v="12"/>
    <x v="17"/>
    <x v="8"/>
    <x v="1"/>
    <x v="17"/>
    <m/>
    <m/>
    <m/>
    <m/>
    <m/>
    <m/>
    <n v="160"/>
    <x v="420"/>
    <m/>
    <m/>
    <d v="2012-10-13T00:00:00"/>
    <x v="14"/>
    <n v="3.36"/>
    <n v="9.15"/>
  </r>
  <r>
    <x v="13"/>
    <x v="1"/>
    <x v="1"/>
    <x v="1"/>
    <x v="1"/>
    <m/>
    <m/>
    <m/>
    <m/>
    <m/>
    <m/>
    <m/>
    <x v="13"/>
    <m/>
    <m/>
    <m/>
    <x v="10"/>
    <m/>
    <m/>
  </r>
  <r>
    <x v="12"/>
    <x v="18"/>
    <x v="9"/>
    <x v="1"/>
    <x v="4"/>
    <m/>
    <m/>
    <m/>
    <m/>
    <m/>
    <m/>
    <m/>
    <x v="494"/>
    <m/>
    <m/>
    <d v="2012-10-18T00:00:00"/>
    <x v="6"/>
    <n v="3.36"/>
    <n v="6.67"/>
  </r>
  <r>
    <x v="13"/>
    <x v="1"/>
    <x v="1"/>
    <x v="1"/>
    <x v="1"/>
    <m/>
    <m/>
    <m/>
    <m/>
    <m/>
    <m/>
    <m/>
    <x v="13"/>
    <m/>
    <m/>
    <m/>
    <x v="10"/>
    <m/>
    <m/>
  </r>
  <r>
    <x v="12"/>
    <x v="18"/>
    <x v="9"/>
    <x v="1"/>
    <x v="0"/>
    <m/>
    <m/>
    <m/>
    <m/>
    <m/>
    <m/>
    <m/>
    <x v="358"/>
    <m/>
    <m/>
    <d v="2012-10-18T00:00:00"/>
    <x v="114"/>
    <n v="3.3"/>
    <n v="9.0299999999999994"/>
  </r>
  <r>
    <x v="13"/>
    <x v="1"/>
    <x v="1"/>
    <x v="1"/>
    <x v="1"/>
    <m/>
    <m/>
    <m/>
    <m/>
    <m/>
    <m/>
    <m/>
    <x v="13"/>
    <m/>
    <m/>
    <m/>
    <x v="10"/>
    <m/>
    <m/>
  </r>
  <r>
    <x v="0"/>
    <x v="1"/>
    <x v="1"/>
    <x v="19"/>
    <x v="1"/>
    <m/>
    <m/>
    <m/>
    <n v="44.64"/>
    <m/>
    <m/>
    <m/>
    <x v="495"/>
    <m/>
    <m/>
    <m/>
    <x v="10"/>
    <m/>
    <m/>
  </r>
  <r>
    <x v="1"/>
    <x v="1"/>
    <x v="1"/>
    <x v="19"/>
    <x v="1"/>
    <m/>
    <m/>
    <m/>
    <n v="42.51"/>
    <m/>
    <m/>
    <m/>
    <x v="496"/>
    <m/>
    <m/>
    <m/>
    <x v="10"/>
    <m/>
    <m/>
  </r>
  <r>
    <x v="2"/>
    <x v="1"/>
    <x v="1"/>
    <x v="19"/>
    <x v="1"/>
    <m/>
    <m/>
    <m/>
    <n v="42.47"/>
    <m/>
    <m/>
    <m/>
    <x v="497"/>
    <m/>
    <m/>
    <m/>
    <x v="10"/>
    <m/>
    <m/>
  </r>
  <r>
    <x v="3"/>
    <x v="1"/>
    <x v="1"/>
    <x v="19"/>
    <x v="1"/>
    <m/>
    <m/>
    <m/>
    <n v="38.369999999999997"/>
    <m/>
    <m/>
    <m/>
    <x v="498"/>
    <m/>
    <m/>
    <m/>
    <x v="10"/>
    <m/>
    <m/>
  </r>
  <r>
    <x v="4"/>
    <x v="1"/>
    <x v="1"/>
    <x v="19"/>
    <x v="1"/>
    <m/>
    <m/>
    <m/>
    <n v="43.27"/>
    <m/>
    <m/>
    <m/>
    <x v="499"/>
    <m/>
    <m/>
    <m/>
    <x v="10"/>
    <m/>
    <m/>
  </r>
  <r>
    <x v="5"/>
    <x v="1"/>
    <x v="1"/>
    <x v="19"/>
    <x v="1"/>
    <m/>
    <m/>
    <m/>
    <n v="38"/>
    <m/>
    <m/>
    <m/>
    <x v="500"/>
    <m/>
    <m/>
    <m/>
    <x v="10"/>
    <m/>
    <m/>
  </r>
  <r>
    <x v="6"/>
    <x v="1"/>
    <x v="1"/>
    <x v="19"/>
    <x v="1"/>
    <m/>
    <m/>
    <m/>
    <n v="27.1"/>
    <m/>
    <m/>
    <m/>
    <x v="501"/>
    <m/>
    <m/>
    <m/>
    <x v="10"/>
    <m/>
    <m/>
  </r>
  <r>
    <x v="7"/>
    <x v="1"/>
    <x v="1"/>
    <x v="19"/>
    <x v="1"/>
    <m/>
    <m/>
    <m/>
    <n v="23.4"/>
    <m/>
    <m/>
    <m/>
    <x v="502"/>
    <m/>
    <m/>
    <m/>
    <x v="10"/>
    <m/>
    <m/>
  </r>
  <r>
    <x v="8"/>
    <x v="1"/>
    <x v="1"/>
    <x v="19"/>
    <x v="1"/>
    <m/>
    <m/>
    <m/>
    <n v="6"/>
    <m/>
    <m/>
    <m/>
    <x v="283"/>
    <m/>
    <m/>
    <m/>
    <x v="10"/>
    <m/>
    <m/>
  </r>
  <r>
    <x v="13"/>
    <x v="1"/>
    <x v="1"/>
    <x v="1"/>
    <x v="1"/>
    <m/>
    <m/>
    <m/>
    <m/>
    <m/>
    <m/>
    <m/>
    <x v="13"/>
    <m/>
    <m/>
    <m/>
    <x v="10"/>
    <m/>
    <m/>
  </r>
  <r>
    <x v="13"/>
    <x v="1"/>
    <x v="1"/>
    <x v="1"/>
    <x v="1"/>
    <m/>
    <m/>
    <m/>
    <m/>
    <m/>
    <m/>
    <m/>
    <x v="13"/>
    <m/>
    <m/>
    <m/>
    <x v="10"/>
    <m/>
    <m/>
  </r>
  <r>
    <x v="13"/>
    <x v="1"/>
    <x v="1"/>
    <x v="1"/>
    <x v="1"/>
    <m/>
    <m/>
    <m/>
    <m/>
    <m/>
    <m/>
    <m/>
    <x v="13"/>
    <m/>
    <m/>
    <m/>
    <x v="1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5:E619" firstHeaderRow="1" firstDataRow="2" firstDataCol="1" rowPageCount="2" colPageCount="1"/>
  <pivotFields count="19">
    <pivotField axis="axisPage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4"/>
        <item x="13"/>
        <item t="default"/>
      </items>
    </pivotField>
    <pivotField axis="axisRow" showAll="0">
      <items count="20">
        <item x="8"/>
        <item x="17"/>
        <item x="13"/>
        <item x="11"/>
        <item x="7"/>
        <item x="15"/>
        <item x="12"/>
        <item x="9"/>
        <item x="6"/>
        <item x="3"/>
        <item x="10"/>
        <item x="14"/>
        <item x="2"/>
        <item x="4"/>
        <item x="0"/>
        <item x="18"/>
        <item x="5"/>
        <item x="16"/>
        <item x="1"/>
        <item t="default"/>
      </items>
    </pivotField>
    <pivotField showAll="0">
      <items count="11">
        <item x="0"/>
        <item x="2"/>
        <item x="3"/>
        <item x="4"/>
        <item x="5"/>
        <item x="7"/>
        <item x="6"/>
        <item x="8"/>
        <item x="9"/>
        <item x="1"/>
        <item t="default"/>
      </items>
    </pivotField>
    <pivotField showAll="0">
      <items count="21">
        <item x="12"/>
        <item x="9"/>
        <item x="4"/>
        <item x="0"/>
        <item x="5"/>
        <item x="2"/>
        <item x="3"/>
        <item x="8"/>
        <item x="7"/>
        <item x="11"/>
        <item x="10"/>
        <item x="13"/>
        <item x="14"/>
        <item x="15"/>
        <item x="17"/>
        <item x="16"/>
        <item x="18"/>
        <item x="6"/>
        <item x="19"/>
        <item x="1"/>
        <item t="default"/>
      </items>
    </pivotField>
    <pivotField axis="axisPage" showAll="0">
      <items count="24">
        <item x="12"/>
        <item x="13"/>
        <item x="0"/>
        <item x="2"/>
        <item x="3"/>
        <item x="20"/>
        <item x="15"/>
        <item x="4"/>
        <item x="14"/>
        <item x="16"/>
        <item x="5"/>
        <item x="6"/>
        <item x="7"/>
        <item x="22"/>
        <item x="21"/>
        <item x="17"/>
        <item x="9"/>
        <item x="10"/>
        <item x="8"/>
        <item x="11"/>
        <item x="19"/>
        <item x="18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04">
        <item x="46"/>
        <item x="440"/>
        <item x="439"/>
        <item x="223"/>
        <item x="340"/>
        <item x="212"/>
        <item x="222"/>
        <item x="404"/>
        <item x="221"/>
        <item x="421"/>
        <item x="214"/>
        <item x="209"/>
        <item x="337"/>
        <item x="220"/>
        <item x="336"/>
        <item x="215"/>
        <item x="374"/>
        <item x="438"/>
        <item x="213"/>
        <item x="217"/>
        <item x="371"/>
        <item x="375"/>
        <item x="211"/>
        <item x="219"/>
        <item x="208"/>
        <item x="372"/>
        <item x="210"/>
        <item x="339"/>
        <item x="216"/>
        <item x="433"/>
        <item x="373"/>
        <item x="326"/>
        <item x="218"/>
        <item x="189"/>
        <item x="328"/>
        <item x="264"/>
        <item x="329"/>
        <item x="324"/>
        <item x="429"/>
        <item x="330"/>
        <item x="399"/>
        <item x="338"/>
        <item x="273"/>
        <item x="195"/>
        <item x="325"/>
        <item x="187"/>
        <item x="349"/>
        <item x="483"/>
        <item x="431"/>
        <item x="5"/>
        <item x="333"/>
        <item x="335"/>
        <item x="444"/>
        <item x="263"/>
        <item x="332"/>
        <item x="247"/>
        <item x="301"/>
        <item x="270"/>
        <item x="299"/>
        <item x="321"/>
        <item x="364"/>
        <item x="308"/>
        <item x="275"/>
        <item x="334"/>
        <item x="348"/>
        <item x="320"/>
        <item x="153"/>
        <item x="85"/>
        <item x="274"/>
        <item x="194"/>
        <item x="392"/>
        <item x="236"/>
        <item x="248"/>
        <item x="319"/>
        <item x="262"/>
        <item x="199"/>
        <item x="272"/>
        <item x="260"/>
        <item x="229"/>
        <item x="237"/>
        <item x="84"/>
        <item x="196"/>
        <item x="327"/>
        <item x="300"/>
        <item x="198"/>
        <item x="297"/>
        <item x="246"/>
        <item x="384"/>
        <item x="238"/>
        <item x="383"/>
        <item x="416"/>
        <item x="323"/>
        <item x="420"/>
        <item x="88"/>
        <item x="415"/>
        <item x="94"/>
        <item x="249"/>
        <item x="417"/>
        <item x="318"/>
        <item x="296"/>
        <item x="185"/>
        <item x="245"/>
        <item x="239"/>
        <item x="276"/>
        <item x="197"/>
        <item x="261"/>
        <item x="271"/>
        <item x="294"/>
        <item x="322"/>
        <item x="10"/>
        <item x="227"/>
        <item x="146"/>
        <item x="183"/>
        <item x="254"/>
        <item x="207"/>
        <item x="29"/>
        <item x="206"/>
        <item x="257"/>
        <item x="184"/>
        <item x="258"/>
        <item x="295"/>
        <item x="331"/>
        <item x="443"/>
        <item x="28"/>
        <item x="234"/>
        <item x="160"/>
        <item x="27"/>
        <item x="367"/>
        <item x="436"/>
        <item x="202"/>
        <item x="252"/>
        <item x="363"/>
        <item x="419"/>
        <item x="286"/>
        <item x="12"/>
        <item x="317"/>
        <item x="30"/>
        <item x="130"/>
        <item x="244"/>
        <item x="242"/>
        <item x="131"/>
        <item x="341"/>
        <item x="92"/>
        <item x="11"/>
        <item x="243"/>
        <item x="228"/>
        <item x="188"/>
        <item x="93"/>
        <item x="418"/>
        <item x="230"/>
        <item x="366"/>
        <item x="233"/>
        <item x="255"/>
        <item x="86"/>
        <item x="91"/>
        <item x="400"/>
        <item x="32"/>
        <item x="360"/>
        <item x="368"/>
        <item x="434"/>
        <item x="87"/>
        <item x="31"/>
        <item x="351"/>
        <item x="362"/>
        <item x="251"/>
        <item x="350"/>
        <item x="203"/>
        <item x="143"/>
        <item x="352"/>
        <item x="135"/>
        <item x="485"/>
        <item x="200"/>
        <item x="34"/>
        <item x="365"/>
        <item x="7"/>
        <item x="356"/>
        <item x="414"/>
        <item x="235"/>
        <item x="437"/>
        <item x="232"/>
        <item x="484"/>
        <item x="256"/>
        <item x="298"/>
        <item x="468"/>
        <item x="488"/>
        <item x="469"/>
        <item x="231"/>
        <item x="277"/>
        <item x="148"/>
        <item x="240"/>
        <item x="369"/>
        <item x="205"/>
        <item x="129"/>
        <item x="33"/>
        <item x="482"/>
        <item x="90"/>
        <item x="134"/>
        <item x="9"/>
        <item x="141"/>
        <item x="480"/>
        <item x="47"/>
        <item x="359"/>
        <item x="201"/>
        <item x="292"/>
        <item x="310"/>
        <item x="241"/>
        <item x="474"/>
        <item x="132"/>
        <item x="494"/>
        <item x="142"/>
        <item x="3"/>
        <item x="152"/>
        <item x="355"/>
        <item x="354"/>
        <item x="353"/>
        <item x="358"/>
        <item x="140"/>
        <item x="137"/>
        <item x="357"/>
        <item x="82"/>
        <item x="89"/>
        <item x="77"/>
        <item x="265"/>
        <item x="225"/>
        <item x="346"/>
        <item x="441"/>
        <item x="481"/>
        <item x="83"/>
        <item x="311"/>
        <item x="413"/>
        <item x="65"/>
        <item x="411"/>
        <item x="430"/>
        <item x="78"/>
        <item x="370"/>
        <item x="204"/>
        <item x="226"/>
        <item x="128"/>
        <item x="151"/>
        <item x="14"/>
        <item x="487"/>
        <item x="139"/>
        <item x="309"/>
        <item x="61"/>
        <item x="250"/>
        <item x="15"/>
        <item x="432"/>
        <item x="410"/>
        <item x="54"/>
        <item x="35"/>
        <item x="287"/>
        <item x="253"/>
        <item x="435"/>
        <item x="164"/>
        <item x="268"/>
        <item x="4"/>
        <item x="361"/>
        <item x="412"/>
        <item x="2"/>
        <item x="282"/>
        <item x="396"/>
        <item x="71"/>
        <item x="347"/>
        <item x="192"/>
        <item x="75"/>
        <item x="302"/>
        <item x="344"/>
        <item x="133"/>
        <item x="147"/>
        <item x="279"/>
        <item x="288"/>
        <item x="191"/>
        <item x="178"/>
        <item x="51"/>
        <item x="60"/>
        <item x="73"/>
        <item x="76"/>
        <item x="8"/>
        <item x="284"/>
        <item x="52"/>
        <item x="259"/>
        <item x="266"/>
        <item x="224"/>
        <item x="79"/>
        <item x="64"/>
        <item x="74"/>
        <item x="291"/>
        <item x="343"/>
        <item x="0"/>
        <item x="72"/>
        <item x="401"/>
        <item x="21"/>
        <item x="49"/>
        <item x="59"/>
        <item x="144"/>
        <item x="395"/>
        <item x="63"/>
        <item x="293"/>
        <item x="25"/>
        <item x="80"/>
        <item x="314"/>
        <item x="6"/>
        <item x="313"/>
        <item x="38"/>
        <item x="278"/>
        <item x="43"/>
        <item x="475"/>
        <item x="48"/>
        <item x="45"/>
        <item x="312"/>
        <item x="50"/>
        <item x="162"/>
        <item x="150"/>
        <item x="167"/>
        <item x="1"/>
        <item x="56"/>
        <item x="464"/>
        <item x="179"/>
        <item x="53"/>
        <item x="473"/>
        <item x="62"/>
        <item x="42"/>
        <item x="67"/>
        <item x="486"/>
        <item x="181"/>
        <item x="16"/>
        <item x="409"/>
        <item x="115"/>
        <item x="394"/>
        <item x="23"/>
        <item x="190"/>
        <item x="17"/>
        <item x="166"/>
        <item x="19"/>
        <item x="136"/>
        <item x="316"/>
        <item x="177"/>
        <item x="403"/>
        <item x="37"/>
        <item x="267"/>
        <item x="463"/>
        <item x="283"/>
        <item x="315"/>
        <item x="285"/>
        <item x="66"/>
        <item x="70"/>
        <item x="386"/>
        <item x="176"/>
        <item x="58"/>
        <item x="109"/>
        <item x="471"/>
        <item x="387"/>
        <item x="138"/>
        <item x="398"/>
        <item x="460"/>
        <item x="36"/>
        <item x="149"/>
        <item x="107"/>
        <item x="81"/>
        <item x="180"/>
        <item x="69"/>
        <item x="55"/>
        <item x="155"/>
        <item x="402"/>
        <item x="442"/>
        <item x="393"/>
        <item x="145"/>
        <item x="114"/>
        <item x="68"/>
        <item x="289"/>
        <item x="342"/>
        <item x="306"/>
        <item x="57"/>
        <item x="385"/>
        <item x="406"/>
        <item x="305"/>
        <item x="24"/>
        <item x="22"/>
        <item x="20"/>
        <item x="462"/>
        <item x="269"/>
        <item x="470"/>
        <item x="186"/>
        <item x="26"/>
        <item x="345"/>
        <item x="44"/>
        <item x="113"/>
        <item x="472"/>
        <item x="280"/>
        <item x="116"/>
        <item x="461"/>
        <item x="163"/>
        <item x="110"/>
        <item x="39"/>
        <item x="18"/>
        <item x="156"/>
        <item x="456"/>
        <item x="193"/>
        <item x="457"/>
        <item x="108"/>
        <item x="445"/>
        <item x="304"/>
        <item x="397"/>
        <item x="154"/>
        <item x="307"/>
        <item x="423"/>
        <item x="422"/>
        <item x="174"/>
        <item x="112"/>
        <item x="157"/>
        <item x="165"/>
        <item x="455"/>
        <item x="158"/>
        <item x="303"/>
        <item x="126"/>
        <item x="117"/>
        <item x="290"/>
        <item x="175"/>
        <item x="408"/>
        <item x="459"/>
        <item x="41"/>
        <item x="425"/>
        <item x="127"/>
        <item x="40"/>
        <item x="467"/>
        <item x="173"/>
        <item x="118"/>
        <item x="111"/>
        <item x="454"/>
        <item x="119"/>
        <item x="378"/>
        <item x="105"/>
        <item x="281"/>
        <item x="452"/>
        <item x="427"/>
        <item x="99"/>
        <item x="124"/>
        <item x="120"/>
        <item x="182"/>
        <item x="466"/>
        <item x="493"/>
        <item x="161"/>
        <item x="172"/>
        <item x="125"/>
        <item x="405"/>
        <item x="458"/>
        <item x="389"/>
        <item x="104"/>
        <item x="489"/>
        <item x="490"/>
        <item x="170"/>
        <item x="376"/>
        <item x="492"/>
        <item x="98"/>
        <item x="171"/>
        <item x="478"/>
        <item x="159"/>
        <item x="168"/>
        <item x="426"/>
        <item x="465"/>
        <item x="121"/>
        <item x="122"/>
        <item x="97"/>
        <item x="123"/>
        <item x="477"/>
        <item x="453"/>
        <item x="100"/>
        <item x="407"/>
        <item x="377"/>
        <item x="95"/>
        <item x="103"/>
        <item x="169"/>
        <item x="102"/>
        <item x="382"/>
        <item x="428"/>
        <item x="379"/>
        <item x="476"/>
        <item x="380"/>
        <item x="106"/>
        <item x="491"/>
        <item x="424"/>
        <item x="479"/>
        <item x="388"/>
        <item x="381"/>
        <item x="96"/>
        <item x="449"/>
        <item x="391"/>
        <item x="448"/>
        <item x="446"/>
        <item x="101"/>
        <item x="450"/>
        <item x="451"/>
        <item x="390"/>
        <item x="502"/>
        <item x="447"/>
        <item x="500"/>
        <item x="501"/>
        <item x="497"/>
        <item x="495"/>
        <item x="499"/>
        <item x="496"/>
        <item x="498"/>
        <item x="13"/>
        <item t="default"/>
      </items>
    </pivotField>
    <pivotField showAll="0"/>
    <pivotField showAll="0"/>
    <pivotField showAll="0"/>
    <pivotField dataField="1" showAll="0">
      <items count="116">
        <item x="33"/>
        <item x="32"/>
        <item x="102"/>
        <item x="103"/>
        <item x="39"/>
        <item x="38"/>
        <item x="101"/>
        <item x="104"/>
        <item x="88"/>
        <item x="43"/>
        <item x="36"/>
        <item x="45"/>
        <item x="44"/>
        <item x="42"/>
        <item x="34"/>
        <item x="62"/>
        <item x="41"/>
        <item x="46"/>
        <item x="99"/>
        <item x="105"/>
        <item x="35"/>
        <item x="114"/>
        <item x="17"/>
        <item x="72"/>
        <item x="111"/>
        <item x="37"/>
        <item x="98"/>
        <item x="18"/>
        <item x="40"/>
        <item x="15"/>
        <item x="113"/>
        <item x="107"/>
        <item x="24"/>
        <item x="110"/>
        <item x="31"/>
        <item x="49"/>
        <item x="48"/>
        <item x="47"/>
        <item x="20"/>
        <item x="73"/>
        <item x="13"/>
        <item x="11"/>
        <item x="19"/>
        <item x="71"/>
        <item x="14"/>
        <item x="109"/>
        <item x="29"/>
        <item x="112"/>
        <item x="27"/>
        <item x="106"/>
        <item x="77"/>
        <item x="28"/>
        <item x="108"/>
        <item x="74"/>
        <item x="6"/>
        <item x="25"/>
        <item x="21"/>
        <item x="95"/>
        <item x="4"/>
        <item x="30"/>
        <item x="12"/>
        <item x="90"/>
        <item x="1"/>
        <item x="5"/>
        <item x="16"/>
        <item x="89"/>
        <item x="22"/>
        <item x="94"/>
        <item x="9"/>
        <item x="78"/>
        <item x="26"/>
        <item x="93"/>
        <item x="2"/>
        <item x="23"/>
        <item x="3"/>
        <item x="97"/>
        <item x="0"/>
        <item x="86"/>
        <item x="63"/>
        <item x="7"/>
        <item x="79"/>
        <item x="91"/>
        <item x="100"/>
        <item x="75"/>
        <item x="8"/>
        <item x="96"/>
        <item x="87"/>
        <item x="57"/>
        <item x="92"/>
        <item x="81"/>
        <item x="80"/>
        <item x="85"/>
        <item x="82"/>
        <item x="58"/>
        <item x="65"/>
        <item x="53"/>
        <item x="83"/>
        <item x="84"/>
        <item x="55"/>
        <item x="54"/>
        <item x="52"/>
        <item x="56"/>
        <item x="51"/>
        <item x="61"/>
        <item x="50"/>
        <item x="66"/>
        <item x="59"/>
        <item x="69"/>
        <item x="68"/>
        <item x="64"/>
        <item x="67"/>
        <item x="60"/>
        <item x="70"/>
        <item x="76"/>
        <item x="10"/>
        <item t="default"/>
      </items>
    </pivotField>
    <pivotField dataField="1" showAll="0"/>
    <pivotField dataField="1" showAll="0"/>
  </pivotFields>
  <rowFields count="2">
    <field x="1"/>
    <field x="12"/>
  </rowFields>
  <rowItems count="613">
    <i>
      <x/>
    </i>
    <i r="1">
      <x v="129"/>
    </i>
    <i r="1">
      <x v="183"/>
    </i>
    <i r="1">
      <x v="185"/>
    </i>
    <i r="1">
      <x v="219"/>
    </i>
    <i r="1">
      <x v="282"/>
    </i>
    <i r="1">
      <x v="289"/>
    </i>
    <i r="1">
      <x v="299"/>
    </i>
    <i r="1">
      <x v="301"/>
    </i>
    <i r="1">
      <x v="316"/>
    </i>
    <i r="1">
      <x v="340"/>
    </i>
    <i r="1">
      <x v="348"/>
    </i>
    <i r="1">
      <x v="379"/>
    </i>
    <i r="1">
      <x v="424"/>
    </i>
    <i r="1">
      <x v="439"/>
    </i>
    <i r="1">
      <x v="459"/>
    </i>
    <i>
      <x v="1"/>
    </i>
    <i r="1">
      <x v="92"/>
    </i>
    <i>
      <x v="2"/>
    </i>
    <i r="1">
      <x v="47"/>
    </i>
    <i r="1">
      <x v="160"/>
    </i>
    <i r="1">
      <x v="170"/>
    </i>
    <i r="1">
      <x v="180"/>
    </i>
    <i>
      <x v="3"/>
    </i>
    <i r="1">
      <x v="125"/>
    </i>
    <i r="1">
      <x v="194"/>
    </i>
    <i r="1">
      <x v="196"/>
    </i>
    <i r="1">
      <x v="199"/>
    </i>
    <i r="1">
      <x v="218"/>
    </i>
    <i r="1">
      <x v="226"/>
    </i>
    <i>
      <x v="4"/>
    </i>
    <i r="1">
      <x v="52"/>
    </i>
    <i r="1">
      <x v="122"/>
    </i>
    <i r="1">
      <x v="289"/>
    </i>
    <i r="1">
      <x v="334"/>
    </i>
    <i r="1">
      <x v="354"/>
    </i>
    <i r="1">
      <x v="364"/>
    </i>
    <i r="1">
      <x v="390"/>
    </i>
    <i r="1">
      <x v="396"/>
    </i>
    <i r="1">
      <x v="398"/>
    </i>
    <i r="1">
      <x v="400"/>
    </i>
    <i r="1">
      <x v="401"/>
    </i>
    <i r="1">
      <x v="409"/>
    </i>
    <i r="1">
      <x v="411"/>
    </i>
    <i r="1">
      <x v="419"/>
    </i>
    <i r="1">
      <x v="421"/>
    </i>
    <i r="1">
      <x v="428"/>
    </i>
    <i r="1">
      <x v="433"/>
    </i>
    <i r="1">
      <x v="445"/>
    </i>
    <i r="1">
      <x v="465"/>
    </i>
    <i r="1">
      <x v="485"/>
    </i>
    <i r="1">
      <x v="487"/>
    </i>
    <i r="1">
      <x v="488"/>
    </i>
    <i r="1">
      <x v="490"/>
    </i>
    <i r="1">
      <x v="491"/>
    </i>
    <i r="1">
      <x v="494"/>
    </i>
    <i r="1">
      <x v="502"/>
    </i>
    <i>
      <x v="5"/>
    </i>
    <i r="1">
      <x v="448"/>
    </i>
    <i r="1">
      <x v="449"/>
    </i>
    <i r="1">
      <x v="479"/>
    </i>
    <i>
      <x v="6"/>
    </i>
    <i r="1">
      <x v="129"/>
    </i>
    <i>
      <x v="7"/>
    </i>
    <i r="1">
      <x v="206"/>
    </i>
    <i r="1">
      <x v="272"/>
    </i>
    <i r="1">
      <x v="306"/>
    </i>
    <i r="1">
      <x v="310"/>
    </i>
    <i r="1">
      <x v="319"/>
    </i>
    <i r="1">
      <x v="350"/>
    </i>
    <i r="1">
      <x v="376"/>
    </i>
    <i r="1">
      <x v="381"/>
    </i>
    <i r="1">
      <x v="387"/>
    </i>
    <i r="1">
      <x v="412"/>
    </i>
    <i>
      <x v="8"/>
    </i>
    <i r="1">
      <x v="1"/>
    </i>
    <i r="1">
      <x v="2"/>
    </i>
    <i r="1">
      <x v="5"/>
    </i>
    <i r="1">
      <x v="7"/>
    </i>
    <i r="1">
      <x v="9"/>
    </i>
    <i r="1">
      <x v="13"/>
    </i>
    <i r="1">
      <x v="16"/>
    </i>
    <i r="1">
      <x v="17"/>
    </i>
    <i r="1">
      <x v="23"/>
    </i>
    <i r="1">
      <x v="28"/>
    </i>
    <i r="1">
      <x v="29"/>
    </i>
    <i r="1">
      <x v="31"/>
    </i>
    <i r="1">
      <x v="38"/>
    </i>
    <i r="1">
      <x v="40"/>
    </i>
    <i r="1">
      <x v="42"/>
    </i>
    <i r="1">
      <x v="44"/>
    </i>
    <i r="1">
      <x v="45"/>
    </i>
    <i r="1">
      <x v="46"/>
    </i>
    <i r="1">
      <x v="48"/>
    </i>
    <i r="1">
      <x v="49"/>
    </i>
    <i r="1">
      <x v="53"/>
    </i>
    <i r="1">
      <x v="68"/>
    </i>
    <i r="1">
      <x v="76"/>
    </i>
    <i r="1">
      <x v="82"/>
    </i>
    <i r="1">
      <x v="90"/>
    </i>
    <i r="1">
      <x v="92"/>
    </i>
    <i r="1">
      <x v="94"/>
    </i>
    <i r="1">
      <x v="95"/>
    </i>
    <i r="1">
      <x v="96"/>
    </i>
    <i r="1">
      <x v="97"/>
    </i>
    <i r="1">
      <x v="103"/>
    </i>
    <i r="1">
      <x v="109"/>
    </i>
    <i r="1">
      <x v="125"/>
    </i>
    <i r="1">
      <x v="128"/>
    </i>
    <i r="1">
      <x v="132"/>
    </i>
    <i r="1">
      <x v="146"/>
    </i>
    <i r="1">
      <x v="148"/>
    </i>
    <i r="1">
      <x v="157"/>
    </i>
    <i r="1">
      <x v="159"/>
    </i>
    <i r="1">
      <x v="161"/>
    </i>
    <i r="1">
      <x v="168"/>
    </i>
    <i r="1">
      <x v="174"/>
    </i>
    <i r="1">
      <x v="176"/>
    </i>
    <i r="1">
      <x v="178"/>
    </i>
    <i r="1">
      <x v="189"/>
    </i>
    <i r="1">
      <x v="195"/>
    </i>
    <i r="1">
      <x v="211"/>
    </i>
    <i r="1">
      <x v="216"/>
    </i>
    <i r="1">
      <x v="225"/>
    </i>
    <i r="1">
      <x v="229"/>
    </i>
    <i r="1">
      <x v="231"/>
    </i>
    <i r="1">
      <x v="232"/>
    </i>
    <i r="1">
      <x v="244"/>
    </i>
    <i r="1">
      <x v="246"/>
    </i>
    <i r="1">
      <x v="247"/>
    </i>
    <i r="1">
      <x v="252"/>
    </i>
    <i r="1">
      <x v="256"/>
    </i>
    <i r="1">
      <x v="257"/>
    </i>
    <i r="1">
      <x v="293"/>
    </i>
    <i r="1">
      <x v="295"/>
    </i>
    <i r="1">
      <x v="322"/>
    </i>
    <i r="1">
      <x v="326"/>
    </i>
    <i r="1">
      <x v="329"/>
    </i>
    <i r="1">
      <x v="334"/>
    </i>
    <i r="1">
      <x v="362"/>
    </i>
    <i r="1">
      <x v="405"/>
    </i>
    <i r="1">
      <x v="406"/>
    </i>
    <i r="1">
      <x v="414"/>
    </i>
    <i r="1">
      <x v="418"/>
    </i>
    <i r="1">
      <x v="421"/>
    </i>
    <i r="1">
      <x v="434"/>
    </i>
    <i r="1">
      <x v="458"/>
    </i>
    <i r="1">
      <x v="467"/>
    </i>
    <i r="1">
      <x v="474"/>
    </i>
    <i r="1">
      <x v="480"/>
    </i>
    <i r="1">
      <x v="502"/>
    </i>
    <i>
      <x v="9"/>
    </i>
    <i r="1">
      <x v="5"/>
    </i>
    <i r="1">
      <x v="7"/>
    </i>
    <i r="1">
      <x v="40"/>
    </i>
    <i r="1">
      <x v="58"/>
    </i>
    <i r="1">
      <x v="70"/>
    </i>
    <i r="1">
      <x v="104"/>
    </i>
    <i r="1">
      <x v="155"/>
    </i>
    <i r="1">
      <x v="168"/>
    </i>
    <i r="1">
      <x v="260"/>
    </i>
    <i r="1">
      <x v="275"/>
    </i>
    <i r="1">
      <x v="290"/>
    </i>
    <i r="1">
      <x v="295"/>
    </i>
    <i r="1">
      <x v="328"/>
    </i>
    <i r="1">
      <x v="337"/>
    </i>
    <i r="1">
      <x v="342"/>
    </i>
    <i r="1">
      <x v="353"/>
    </i>
    <i r="1">
      <x v="363"/>
    </i>
    <i r="1">
      <x v="365"/>
    </i>
    <i r="1">
      <x v="401"/>
    </i>
    <i r="1">
      <x v="402"/>
    </i>
    <i>
      <x v="10"/>
    </i>
    <i r="1">
      <x v="305"/>
    </i>
    <i r="1">
      <x v="420"/>
    </i>
    <i r="1">
      <x v="455"/>
    </i>
    <i r="1">
      <x v="464"/>
    </i>
    <i r="1">
      <x v="476"/>
    </i>
    <i r="1">
      <x v="481"/>
    </i>
    <i>
      <x v="11"/>
    </i>
    <i r="1">
      <x v="323"/>
    </i>
    <i r="1">
      <x v="502"/>
    </i>
    <i>
      <x v="12"/>
    </i>
    <i r="1">
      <x v="16"/>
    </i>
    <i r="1">
      <x v="20"/>
    </i>
    <i r="1">
      <x v="21"/>
    </i>
    <i r="1">
      <x v="23"/>
    </i>
    <i r="1">
      <x v="25"/>
    </i>
    <i r="1">
      <x v="28"/>
    </i>
    <i r="1">
      <x v="30"/>
    </i>
    <i r="1">
      <x v="65"/>
    </i>
    <i r="1">
      <x v="87"/>
    </i>
    <i r="1">
      <x v="89"/>
    </i>
    <i r="1">
      <x v="104"/>
    </i>
    <i r="1">
      <x v="259"/>
    </i>
    <i r="1">
      <x v="315"/>
    </i>
    <i r="1">
      <x v="345"/>
    </i>
    <i r="1">
      <x v="346"/>
    </i>
    <i r="1">
      <x v="351"/>
    </i>
    <i r="1">
      <x v="373"/>
    </i>
    <i r="1">
      <x v="430"/>
    </i>
    <i r="1">
      <x v="446"/>
    </i>
    <i r="1">
      <x v="451"/>
    </i>
    <i r="1">
      <x v="468"/>
    </i>
    <i r="1">
      <x v="473"/>
    </i>
    <i r="1">
      <x v="475"/>
    </i>
    <i r="1">
      <x v="477"/>
    </i>
    <i r="1">
      <x v="482"/>
    </i>
    <i r="1">
      <x v="483"/>
    </i>
    <i r="1">
      <x v="486"/>
    </i>
    <i r="1">
      <x v="492"/>
    </i>
    <i r="1">
      <x v="502"/>
    </i>
    <i>
      <x v="13"/>
    </i>
    <i r="1">
      <x v="321"/>
    </i>
    <i r="1">
      <x v="374"/>
    </i>
    <i r="1">
      <x v="395"/>
    </i>
    <i r="1">
      <x v="444"/>
    </i>
    <i r="1">
      <x v="502"/>
    </i>
    <i>
      <x v="14"/>
    </i>
    <i r="1">
      <x/>
    </i>
    <i r="1">
      <x v="3"/>
    </i>
    <i r="1">
      <x v="4"/>
    </i>
    <i r="1">
      <x v="5"/>
    </i>
    <i r="1">
      <x v="6"/>
    </i>
    <i r="1">
      <x v="8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8"/>
    </i>
    <i r="1">
      <x v="19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9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9"/>
    </i>
    <i r="1">
      <x v="50"/>
    </i>
    <i r="1">
      <x v="51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8"/>
    </i>
    <i r="1">
      <x v="91"/>
    </i>
    <i r="1">
      <x v="93"/>
    </i>
    <i r="1">
      <x v="95"/>
    </i>
    <i r="1">
      <x v="96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3"/>
    </i>
    <i r="1">
      <x v="124"/>
    </i>
    <i r="1">
      <x v="125"/>
    </i>
    <i r="1">
      <x v="126"/>
    </i>
    <i r="1">
      <x v="127"/>
    </i>
    <i r="1">
      <x v="129"/>
    </i>
    <i r="1">
      <x v="130"/>
    </i>
    <i r="1">
      <x v="131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6"/>
    </i>
    <i r="1">
      <x v="157"/>
    </i>
    <i r="1">
      <x v="158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1"/>
    </i>
    <i r="1">
      <x v="172"/>
    </i>
    <i r="1">
      <x v="173"/>
    </i>
    <i r="1">
      <x v="174"/>
    </i>
    <i r="1">
      <x v="175"/>
    </i>
    <i r="1">
      <x v="177"/>
    </i>
    <i r="1">
      <x v="179"/>
    </i>
    <i r="1">
      <x v="181"/>
    </i>
    <i r="1">
      <x v="182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5"/>
    </i>
    <i r="1">
      <x v="196"/>
    </i>
    <i r="1">
      <x v="197"/>
    </i>
    <i r="1">
      <x v="198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7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7"/>
    </i>
    <i r="1">
      <x v="228"/>
    </i>
    <i r="1">
      <x v="230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1"/>
    </i>
    <i r="1">
      <x v="242"/>
    </i>
    <i r="1">
      <x v="243"/>
    </i>
    <i r="1">
      <x v="244"/>
    </i>
    <i r="1">
      <x v="245"/>
    </i>
    <i r="1">
      <x v="248"/>
    </i>
    <i r="1">
      <x v="249"/>
    </i>
    <i r="1">
      <x v="250"/>
    </i>
    <i r="1">
      <x v="251"/>
    </i>
    <i r="1">
      <x v="253"/>
    </i>
    <i r="1">
      <x v="254"/>
    </i>
    <i r="1">
      <x v="255"/>
    </i>
    <i r="1">
      <x v="256"/>
    </i>
    <i r="1">
      <x v="258"/>
    </i>
    <i r="1">
      <x v="259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1"/>
    </i>
    <i r="1">
      <x v="292"/>
    </i>
    <i r="1">
      <x v="293"/>
    </i>
    <i r="1">
      <x v="294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5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7"/>
    </i>
    <i r="1">
      <x v="318"/>
    </i>
    <i r="1">
      <x v="320"/>
    </i>
    <i r="1">
      <x v="321"/>
    </i>
    <i r="1">
      <x v="322"/>
    </i>
    <i r="1">
      <x v="324"/>
    </i>
    <i r="1">
      <x v="325"/>
    </i>
    <i r="1">
      <x v="327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8"/>
    </i>
    <i r="1">
      <x v="339"/>
    </i>
    <i r="1">
      <x v="341"/>
    </i>
    <i r="1">
      <x v="342"/>
    </i>
    <i r="1">
      <x v="343"/>
    </i>
    <i r="1">
      <x v="344"/>
    </i>
    <i r="1">
      <x v="345"/>
    </i>
    <i r="1">
      <x v="347"/>
    </i>
    <i r="1">
      <x v="348"/>
    </i>
    <i r="1">
      <x v="349"/>
    </i>
    <i r="1">
      <x v="352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5"/>
    </i>
    <i r="1">
      <x v="376"/>
    </i>
    <i r="1">
      <x v="377"/>
    </i>
    <i r="1">
      <x v="378"/>
    </i>
    <i r="1">
      <x v="380"/>
    </i>
    <i r="1">
      <x v="382"/>
    </i>
    <i r="1">
      <x v="383"/>
    </i>
    <i r="1">
      <x v="384"/>
    </i>
    <i r="1">
      <x v="385"/>
    </i>
    <i r="1">
      <x v="386"/>
    </i>
    <i r="1">
      <x v="388"/>
    </i>
    <i r="1">
      <x v="389"/>
    </i>
    <i r="1">
      <x v="391"/>
    </i>
    <i r="1">
      <x v="392"/>
    </i>
    <i r="1">
      <x v="393"/>
    </i>
    <i r="1">
      <x v="394"/>
    </i>
    <i r="1">
      <x v="395"/>
    </i>
    <i r="1">
      <x v="397"/>
    </i>
    <i r="1">
      <x v="399"/>
    </i>
    <i r="1">
      <x v="401"/>
    </i>
    <i r="1">
      <x v="403"/>
    </i>
    <i r="1">
      <x v="404"/>
    </i>
    <i r="1">
      <x v="407"/>
    </i>
    <i r="1">
      <x v="408"/>
    </i>
    <i r="1">
      <x v="409"/>
    </i>
    <i r="1">
      <x v="410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20"/>
    </i>
    <i r="1">
      <x v="422"/>
    </i>
    <i r="1">
      <x v="423"/>
    </i>
    <i r="1">
      <x v="425"/>
    </i>
    <i r="1">
      <x v="426"/>
    </i>
    <i r="1">
      <x v="427"/>
    </i>
    <i r="1">
      <x v="429"/>
    </i>
    <i r="1">
      <x v="431"/>
    </i>
    <i r="1">
      <x v="432"/>
    </i>
    <i r="1">
      <x v="435"/>
    </i>
    <i r="1">
      <x v="436"/>
    </i>
    <i r="1">
      <x v="437"/>
    </i>
    <i r="1">
      <x v="438"/>
    </i>
    <i r="1">
      <x v="441"/>
    </i>
    <i r="1">
      <x v="442"/>
    </i>
    <i r="1">
      <x v="443"/>
    </i>
    <i r="1">
      <x v="447"/>
    </i>
    <i r="1">
      <x v="450"/>
    </i>
    <i r="1">
      <x v="453"/>
    </i>
    <i r="1">
      <x v="454"/>
    </i>
    <i r="1">
      <x v="456"/>
    </i>
    <i r="1">
      <x v="457"/>
    </i>
    <i r="1">
      <x v="460"/>
    </i>
    <i r="1">
      <x v="461"/>
    </i>
    <i r="1">
      <x v="462"/>
    </i>
    <i r="1">
      <x v="463"/>
    </i>
    <i r="1">
      <x v="466"/>
    </i>
    <i r="1">
      <x v="469"/>
    </i>
    <i r="1">
      <x v="470"/>
    </i>
    <i r="1">
      <x v="471"/>
    </i>
    <i r="1">
      <x v="472"/>
    </i>
    <i r="1">
      <x v="478"/>
    </i>
    <i r="1">
      <x v="484"/>
    </i>
    <i r="1">
      <x v="489"/>
    </i>
    <i r="1">
      <x v="502"/>
    </i>
    <i>
      <x v="15"/>
    </i>
    <i r="1">
      <x v="208"/>
    </i>
    <i r="1">
      <x v="215"/>
    </i>
    <i>
      <x v="16"/>
    </i>
    <i r="1">
      <x v="184"/>
    </i>
    <i r="1">
      <x v="220"/>
    </i>
    <i r="1">
      <x v="240"/>
    </i>
    <i r="1">
      <x v="256"/>
    </i>
    <i>
      <x v="17"/>
    </i>
    <i r="1">
      <x v="440"/>
    </i>
    <i r="1">
      <x v="452"/>
    </i>
    <i>
      <x v="18"/>
    </i>
    <i r="1">
      <x v="341"/>
    </i>
    <i r="1">
      <x v="493"/>
    </i>
    <i r="1">
      <x v="495"/>
    </i>
    <i r="1">
      <x v="496"/>
    </i>
    <i r="1">
      <x v="497"/>
    </i>
    <i r="1">
      <x v="498"/>
    </i>
    <i r="1">
      <x v="499"/>
    </i>
    <i r="1">
      <x v="500"/>
    </i>
    <i r="1">
      <x v="501"/>
    </i>
    <i r="1">
      <x v="50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4" hier="-1"/>
    <pageField fld="0" hier="-1"/>
  </pageFields>
  <dataFields count="4">
    <dataField name="Sum of Tons" fld="12" baseField="0" baseItem="0"/>
    <dataField name="Average of Brix" fld="16" subtotal="average" baseField="0" baseItem="0"/>
    <dataField name="Average of pH" fld="17" subtotal="average" baseField="0" baseItem="0" numFmtId="2"/>
    <dataField name="Average of TA" fld="18" subtotal="average" baseField="0" baseItem="0"/>
  </dataFields>
  <formats count="4">
    <format dxfId="3">
      <pivotArea collapsedLevelsAreSubtotals="1" fieldPosition="0">
        <references count="2">
          <reference field="4294967294" count="3" selected="0">
            <x v="1"/>
            <x v="2"/>
            <x v="3"/>
          </reference>
          <reference field="1" count="0"/>
        </references>
      </pivotArea>
    </format>
    <format dxfId="2">
      <pivotArea grandRow="1" outline="0" collapsedLevelsAreSubtotals="1" fieldPosition="0"/>
    </format>
    <format dxfId="1">
      <pivotArea collapsedLevelsAreSubtotals="1" fieldPosition="0">
        <references count="2">
          <reference field="4294967294" count="1" selected="0">
            <x v="0"/>
          </reference>
          <reference field="1" count="4">
            <x v="6"/>
            <x v="11"/>
            <x v="14"/>
            <x v="15"/>
          </reference>
        </references>
      </pivotArea>
    </format>
    <format dxfId="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V1028"/>
  <sheetViews>
    <sheetView tabSelected="1" topLeftCell="C1" zoomScale="80" zoomScaleNormal="80" workbookViewId="0">
      <pane ySplit="1" topLeftCell="A1004" activePane="bottomLeft" state="frozen"/>
      <selection pane="bottomLeft" activeCell="M1005" sqref="M1002:M1005"/>
    </sheetView>
  </sheetViews>
  <sheetFormatPr defaultRowHeight="12.75" x14ac:dyDescent="0.2"/>
  <cols>
    <col min="1" max="1" width="8.140625" style="11" customWidth="1"/>
    <col min="2" max="2" width="11.140625" style="11" customWidth="1"/>
    <col min="3" max="3" width="7.5703125" style="4" customWidth="1"/>
    <col min="4" max="4" width="8" style="4" customWidth="1"/>
    <col min="5" max="5" width="21.140625" style="11" customWidth="1"/>
    <col min="6" max="6" width="7.5703125" style="11" customWidth="1"/>
    <col min="7" max="7" width="8.85546875" style="11" customWidth="1"/>
    <col min="8" max="8" width="8.85546875" style="11" bestFit="1" customWidth="1"/>
    <col min="9" max="9" width="6.85546875" style="11" customWidth="1"/>
    <col min="10" max="10" width="7.5703125" style="11" customWidth="1"/>
    <col min="11" max="11" width="11.42578125" style="11" customWidth="1"/>
    <col min="12" max="12" width="8.5703125" style="11" bestFit="1" customWidth="1"/>
    <col min="13" max="13" width="8.140625" style="11" customWidth="1"/>
    <col min="14" max="14" width="13.85546875" style="11" bestFit="1" customWidth="1"/>
    <col min="15" max="15" width="8" style="11" customWidth="1"/>
    <col min="16" max="16" width="12.140625" style="11" customWidth="1"/>
    <col min="17" max="17" width="6.85546875" style="11" customWidth="1"/>
    <col min="18" max="19" width="5.140625" style="11" customWidth="1"/>
    <col min="20" max="20" width="4.5703125" style="11" customWidth="1"/>
    <col min="21" max="250" width="9.140625" style="11"/>
    <col min="251" max="251" width="8.140625" style="11" customWidth="1"/>
    <col min="252" max="252" width="4.85546875" style="11" customWidth="1"/>
    <col min="253" max="253" width="5.140625" style="11" customWidth="1"/>
    <col min="254" max="254" width="12.5703125" style="11" customWidth="1"/>
    <col min="255" max="255" width="7.5703125" style="11" customWidth="1"/>
    <col min="256" max="256" width="6.85546875" style="11" customWidth="1"/>
    <col min="257" max="257" width="7" style="11" bestFit="1" customWidth="1"/>
    <col min="258" max="258" width="8.85546875" style="11" bestFit="1" customWidth="1"/>
    <col min="259" max="259" width="6.85546875" style="11" customWidth="1"/>
    <col min="260" max="261" width="7.5703125" style="11" customWidth="1"/>
    <col min="262" max="262" width="8.5703125" style="11" bestFit="1" customWidth="1"/>
    <col min="263" max="263" width="6.85546875" style="11" customWidth="1"/>
    <col min="264" max="264" width="8.140625" style="11" customWidth="1"/>
    <col min="265" max="265" width="13.85546875" style="11" bestFit="1" customWidth="1"/>
    <col min="266" max="266" width="6.85546875" style="11" customWidth="1"/>
    <col min="267" max="267" width="7.85546875" style="11" customWidth="1"/>
    <col min="268" max="268" width="6.85546875" style="11" customWidth="1"/>
    <col min="269" max="270" width="5.140625" style="11" customWidth="1"/>
    <col min="271" max="271" width="7.5703125" style="11" customWidth="1"/>
    <col min="272" max="272" width="8.140625" style="11" bestFit="1" customWidth="1"/>
    <col min="273" max="273" width="8.85546875" style="11" customWidth="1"/>
    <col min="274" max="274" width="9.42578125" style="11" customWidth="1"/>
    <col min="275" max="275" width="9.140625" style="11" customWidth="1"/>
    <col min="276" max="276" width="4.5703125" style="11" customWidth="1"/>
    <col min="277" max="506" width="9.140625" style="11"/>
    <col min="507" max="507" width="8.140625" style="11" customWidth="1"/>
    <col min="508" max="508" width="4.85546875" style="11" customWidth="1"/>
    <col min="509" max="509" width="5.140625" style="11" customWidth="1"/>
    <col min="510" max="510" width="12.5703125" style="11" customWidth="1"/>
    <col min="511" max="511" width="7.5703125" style="11" customWidth="1"/>
    <col min="512" max="512" width="6.85546875" style="11" customWidth="1"/>
    <col min="513" max="513" width="7" style="11" bestFit="1" customWidth="1"/>
    <col min="514" max="514" width="8.85546875" style="11" bestFit="1" customWidth="1"/>
    <col min="515" max="515" width="6.85546875" style="11" customWidth="1"/>
    <col min="516" max="517" width="7.5703125" style="11" customWidth="1"/>
    <col min="518" max="518" width="8.5703125" style="11" bestFit="1" customWidth="1"/>
    <col min="519" max="519" width="6.85546875" style="11" customWidth="1"/>
    <col min="520" max="520" width="8.140625" style="11" customWidth="1"/>
    <col min="521" max="521" width="13.85546875" style="11" bestFit="1" customWidth="1"/>
    <col min="522" max="522" width="6.85546875" style="11" customWidth="1"/>
    <col min="523" max="523" width="7.85546875" style="11" customWidth="1"/>
    <col min="524" max="524" width="6.85546875" style="11" customWidth="1"/>
    <col min="525" max="526" width="5.140625" style="11" customWidth="1"/>
    <col min="527" max="527" width="7.5703125" style="11" customWidth="1"/>
    <col min="528" max="528" width="8.140625" style="11" bestFit="1" customWidth="1"/>
    <col min="529" max="529" width="8.85546875" style="11" customWidth="1"/>
    <col min="530" max="530" width="9.42578125" style="11" customWidth="1"/>
    <col min="531" max="531" width="9.140625" style="11" customWidth="1"/>
    <col min="532" max="532" width="4.5703125" style="11" customWidth="1"/>
    <col min="533" max="762" width="9.140625" style="11"/>
    <col min="763" max="763" width="8.140625" style="11" customWidth="1"/>
    <col min="764" max="764" width="4.85546875" style="11" customWidth="1"/>
    <col min="765" max="765" width="5.140625" style="11" customWidth="1"/>
    <col min="766" max="766" width="12.5703125" style="11" customWidth="1"/>
    <col min="767" max="767" width="7.5703125" style="11" customWidth="1"/>
    <col min="768" max="768" width="6.85546875" style="11" customWidth="1"/>
    <col min="769" max="769" width="7" style="11" bestFit="1" customWidth="1"/>
    <col min="770" max="770" width="8.85546875" style="11" bestFit="1" customWidth="1"/>
    <col min="771" max="771" width="6.85546875" style="11" customWidth="1"/>
    <col min="772" max="773" width="7.5703125" style="11" customWidth="1"/>
    <col min="774" max="774" width="8.5703125" style="11" bestFit="1" customWidth="1"/>
    <col min="775" max="775" width="6.85546875" style="11" customWidth="1"/>
    <col min="776" max="776" width="8.140625" style="11" customWidth="1"/>
    <col min="777" max="777" width="13.85546875" style="11" bestFit="1" customWidth="1"/>
    <col min="778" max="778" width="6.85546875" style="11" customWidth="1"/>
    <col min="779" max="779" width="7.85546875" style="11" customWidth="1"/>
    <col min="780" max="780" width="6.85546875" style="11" customWidth="1"/>
    <col min="781" max="782" width="5.140625" style="11" customWidth="1"/>
    <col min="783" max="783" width="7.5703125" style="11" customWidth="1"/>
    <col min="784" max="784" width="8.140625" style="11" bestFit="1" customWidth="1"/>
    <col min="785" max="785" width="8.85546875" style="11" customWidth="1"/>
    <col min="786" max="786" width="9.42578125" style="11" customWidth="1"/>
    <col min="787" max="787" width="9.140625" style="11" customWidth="1"/>
    <col min="788" max="788" width="4.5703125" style="11" customWidth="1"/>
    <col min="789" max="1018" width="9.140625" style="11"/>
    <col min="1019" max="1019" width="8.140625" style="11" customWidth="1"/>
    <col min="1020" max="1020" width="4.85546875" style="11" customWidth="1"/>
    <col min="1021" max="1021" width="5.140625" style="11" customWidth="1"/>
    <col min="1022" max="1022" width="12.5703125" style="11" customWidth="1"/>
    <col min="1023" max="1023" width="7.5703125" style="11" customWidth="1"/>
    <col min="1024" max="1024" width="6.85546875" style="11" customWidth="1"/>
    <col min="1025" max="1025" width="7" style="11" bestFit="1" customWidth="1"/>
    <col min="1026" max="1026" width="8.85546875" style="11" bestFit="1" customWidth="1"/>
    <col min="1027" max="1027" width="6.85546875" style="11" customWidth="1"/>
    <col min="1028" max="1029" width="7.5703125" style="11" customWidth="1"/>
    <col min="1030" max="1030" width="8.5703125" style="11" bestFit="1" customWidth="1"/>
    <col min="1031" max="1031" width="6.85546875" style="11" customWidth="1"/>
    <col min="1032" max="1032" width="8.140625" style="11" customWidth="1"/>
    <col min="1033" max="1033" width="13.85546875" style="11" bestFit="1" customWidth="1"/>
    <col min="1034" max="1034" width="6.85546875" style="11" customWidth="1"/>
    <col min="1035" max="1035" width="7.85546875" style="11" customWidth="1"/>
    <col min="1036" max="1036" width="6.85546875" style="11" customWidth="1"/>
    <col min="1037" max="1038" width="5.140625" style="11" customWidth="1"/>
    <col min="1039" max="1039" width="7.5703125" style="11" customWidth="1"/>
    <col min="1040" max="1040" width="8.140625" style="11" bestFit="1" customWidth="1"/>
    <col min="1041" max="1041" width="8.85546875" style="11" customWidth="1"/>
    <col min="1042" max="1042" width="9.42578125" style="11" customWidth="1"/>
    <col min="1043" max="1043" width="9.140625" style="11" customWidth="1"/>
    <col min="1044" max="1044" width="4.5703125" style="11" customWidth="1"/>
    <col min="1045" max="1274" width="9.140625" style="11"/>
    <col min="1275" max="1275" width="8.140625" style="11" customWidth="1"/>
    <col min="1276" max="1276" width="4.85546875" style="11" customWidth="1"/>
    <col min="1277" max="1277" width="5.140625" style="11" customWidth="1"/>
    <col min="1278" max="1278" width="12.5703125" style="11" customWidth="1"/>
    <col min="1279" max="1279" width="7.5703125" style="11" customWidth="1"/>
    <col min="1280" max="1280" width="6.85546875" style="11" customWidth="1"/>
    <col min="1281" max="1281" width="7" style="11" bestFit="1" customWidth="1"/>
    <col min="1282" max="1282" width="8.85546875" style="11" bestFit="1" customWidth="1"/>
    <col min="1283" max="1283" width="6.85546875" style="11" customWidth="1"/>
    <col min="1284" max="1285" width="7.5703125" style="11" customWidth="1"/>
    <col min="1286" max="1286" width="8.5703125" style="11" bestFit="1" customWidth="1"/>
    <col min="1287" max="1287" width="6.85546875" style="11" customWidth="1"/>
    <col min="1288" max="1288" width="8.140625" style="11" customWidth="1"/>
    <col min="1289" max="1289" width="13.85546875" style="11" bestFit="1" customWidth="1"/>
    <col min="1290" max="1290" width="6.85546875" style="11" customWidth="1"/>
    <col min="1291" max="1291" width="7.85546875" style="11" customWidth="1"/>
    <col min="1292" max="1292" width="6.85546875" style="11" customWidth="1"/>
    <col min="1293" max="1294" width="5.140625" style="11" customWidth="1"/>
    <col min="1295" max="1295" width="7.5703125" style="11" customWidth="1"/>
    <col min="1296" max="1296" width="8.140625" style="11" bestFit="1" customWidth="1"/>
    <col min="1297" max="1297" width="8.85546875" style="11" customWidth="1"/>
    <col min="1298" max="1298" width="9.42578125" style="11" customWidth="1"/>
    <col min="1299" max="1299" width="9.140625" style="11" customWidth="1"/>
    <col min="1300" max="1300" width="4.5703125" style="11" customWidth="1"/>
    <col min="1301" max="1530" width="9.140625" style="11"/>
    <col min="1531" max="1531" width="8.140625" style="11" customWidth="1"/>
    <col min="1532" max="1532" width="4.85546875" style="11" customWidth="1"/>
    <col min="1533" max="1533" width="5.140625" style="11" customWidth="1"/>
    <col min="1534" max="1534" width="12.5703125" style="11" customWidth="1"/>
    <col min="1535" max="1535" width="7.5703125" style="11" customWidth="1"/>
    <col min="1536" max="1536" width="6.85546875" style="11" customWidth="1"/>
    <col min="1537" max="1537" width="7" style="11" bestFit="1" customWidth="1"/>
    <col min="1538" max="1538" width="8.85546875" style="11" bestFit="1" customWidth="1"/>
    <col min="1539" max="1539" width="6.85546875" style="11" customWidth="1"/>
    <col min="1540" max="1541" width="7.5703125" style="11" customWidth="1"/>
    <col min="1542" max="1542" width="8.5703125" style="11" bestFit="1" customWidth="1"/>
    <col min="1543" max="1543" width="6.85546875" style="11" customWidth="1"/>
    <col min="1544" max="1544" width="8.140625" style="11" customWidth="1"/>
    <col min="1545" max="1545" width="13.85546875" style="11" bestFit="1" customWidth="1"/>
    <col min="1546" max="1546" width="6.85546875" style="11" customWidth="1"/>
    <col min="1547" max="1547" width="7.85546875" style="11" customWidth="1"/>
    <col min="1548" max="1548" width="6.85546875" style="11" customWidth="1"/>
    <col min="1549" max="1550" width="5.140625" style="11" customWidth="1"/>
    <col min="1551" max="1551" width="7.5703125" style="11" customWidth="1"/>
    <col min="1552" max="1552" width="8.140625" style="11" bestFit="1" customWidth="1"/>
    <col min="1553" max="1553" width="8.85546875" style="11" customWidth="1"/>
    <col min="1554" max="1554" width="9.42578125" style="11" customWidth="1"/>
    <col min="1555" max="1555" width="9.140625" style="11" customWidth="1"/>
    <col min="1556" max="1556" width="4.5703125" style="11" customWidth="1"/>
    <col min="1557" max="1786" width="9.140625" style="11"/>
    <col min="1787" max="1787" width="8.140625" style="11" customWidth="1"/>
    <col min="1788" max="1788" width="4.85546875" style="11" customWidth="1"/>
    <col min="1789" max="1789" width="5.140625" style="11" customWidth="1"/>
    <col min="1790" max="1790" width="12.5703125" style="11" customWidth="1"/>
    <col min="1791" max="1791" width="7.5703125" style="11" customWidth="1"/>
    <col min="1792" max="1792" width="6.85546875" style="11" customWidth="1"/>
    <col min="1793" max="1793" width="7" style="11" bestFit="1" customWidth="1"/>
    <col min="1794" max="1794" width="8.85546875" style="11" bestFit="1" customWidth="1"/>
    <col min="1795" max="1795" width="6.85546875" style="11" customWidth="1"/>
    <col min="1796" max="1797" width="7.5703125" style="11" customWidth="1"/>
    <col min="1798" max="1798" width="8.5703125" style="11" bestFit="1" customWidth="1"/>
    <col min="1799" max="1799" width="6.85546875" style="11" customWidth="1"/>
    <col min="1800" max="1800" width="8.140625" style="11" customWidth="1"/>
    <col min="1801" max="1801" width="13.85546875" style="11" bestFit="1" customWidth="1"/>
    <col min="1802" max="1802" width="6.85546875" style="11" customWidth="1"/>
    <col min="1803" max="1803" width="7.85546875" style="11" customWidth="1"/>
    <col min="1804" max="1804" width="6.85546875" style="11" customWidth="1"/>
    <col min="1805" max="1806" width="5.140625" style="11" customWidth="1"/>
    <col min="1807" max="1807" width="7.5703125" style="11" customWidth="1"/>
    <col min="1808" max="1808" width="8.140625" style="11" bestFit="1" customWidth="1"/>
    <col min="1809" max="1809" width="8.85546875" style="11" customWidth="1"/>
    <col min="1810" max="1810" width="9.42578125" style="11" customWidth="1"/>
    <col min="1811" max="1811" width="9.140625" style="11" customWidth="1"/>
    <col min="1812" max="1812" width="4.5703125" style="11" customWidth="1"/>
    <col min="1813" max="2042" width="9.140625" style="11"/>
    <col min="2043" max="2043" width="8.140625" style="11" customWidth="1"/>
    <col min="2044" max="2044" width="4.85546875" style="11" customWidth="1"/>
    <col min="2045" max="2045" width="5.140625" style="11" customWidth="1"/>
    <col min="2046" max="2046" width="12.5703125" style="11" customWidth="1"/>
    <col min="2047" max="2047" width="7.5703125" style="11" customWidth="1"/>
    <col min="2048" max="2048" width="6.85546875" style="11" customWidth="1"/>
    <col min="2049" max="2049" width="7" style="11" bestFit="1" customWidth="1"/>
    <col min="2050" max="2050" width="8.85546875" style="11" bestFit="1" customWidth="1"/>
    <col min="2051" max="2051" width="6.85546875" style="11" customWidth="1"/>
    <col min="2052" max="2053" width="7.5703125" style="11" customWidth="1"/>
    <col min="2054" max="2054" width="8.5703125" style="11" bestFit="1" customWidth="1"/>
    <col min="2055" max="2055" width="6.85546875" style="11" customWidth="1"/>
    <col min="2056" max="2056" width="8.140625" style="11" customWidth="1"/>
    <col min="2057" max="2057" width="13.85546875" style="11" bestFit="1" customWidth="1"/>
    <col min="2058" max="2058" width="6.85546875" style="11" customWidth="1"/>
    <col min="2059" max="2059" width="7.85546875" style="11" customWidth="1"/>
    <col min="2060" max="2060" width="6.85546875" style="11" customWidth="1"/>
    <col min="2061" max="2062" width="5.140625" style="11" customWidth="1"/>
    <col min="2063" max="2063" width="7.5703125" style="11" customWidth="1"/>
    <col min="2064" max="2064" width="8.140625" style="11" bestFit="1" customWidth="1"/>
    <col min="2065" max="2065" width="8.85546875" style="11" customWidth="1"/>
    <col min="2066" max="2066" width="9.42578125" style="11" customWidth="1"/>
    <col min="2067" max="2067" width="9.140625" style="11" customWidth="1"/>
    <col min="2068" max="2068" width="4.5703125" style="11" customWidth="1"/>
    <col min="2069" max="2298" width="9.140625" style="11"/>
    <col min="2299" max="2299" width="8.140625" style="11" customWidth="1"/>
    <col min="2300" max="2300" width="4.85546875" style="11" customWidth="1"/>
    <col min="2301" max="2301" width="5.140625" style="11" customWidth="1"/>
    <col min="2302" max="2302" width="12.5703125" style="11" customWidth="1"/>
    <col min="2303" max="2303" width="7.5703125" style="11" customWidth="1"/>
    <col min="2304" max="2304" width="6.85546875" style="11" customWidth="1"/>
    <col min="2305" max="2305" width="7" style="11" bestFit="1" customWidth="1"/>
    <col min="2306" max="2306" width="8.85546875" style="11" bestFit="1" customWidth="1"/>
    <col min="2307" max="2307" width="6.85546875" style="11" customWidth="1"/>
    <col min="2308" max="2309" width="7.5703125" style="11" customWidth="1"/>
    <col min="2310" max="2310" width="8.5703125" style="11" bestFit="1" customWidth="1"/>
    <col min="2311" max="2311" width="6.85546875" style="11" customWidth="1"/>
    <col min="2312" max="2312" width="8.140625" style="11" customWidth="1"/>
    <col min="2313" max="2313" width="13.85546875" style="11" bestFit="1" customWidth="1"/>
    <col min="2314" max="2314" width="6.85546875" style="11" customWidth="1"/>
    <col min="2315" max="2315" width="7.85546875" style="11" customWidth="1"/>
    <col min="2316" max="2316" width="6.85546875" style="11" customWidth="1"/>
    <col min="2317" max="2318" width="5.140625" style="11" customWidth="1"/>
    <col min="2319" max="2319" width="7.5703125" style="11" customWidth="1"/>
    <col min="2320" max="2320" width="8.140625" style="11" bestFit="1" customWidth="1"/>
    <col min="2321" max="2321" width="8.85546875" style="11" customWidth="1"/>
    <col min="2322" max="2322" width="9.42578125" style="11" customWidth="1"/>
    <col min="2323" max="2323" width="9.140625" style="11" customWidth="1"/>
    <col min="2324" max="2324" width="4.5703125" style="11" customWidth="1"/>
    <col min="2325" max="2554" width="9.140625" style="11"/>
    <col min="2555" max="2555" width="8.140625" style="11" customWidth="1"/>
    <col min="2556" max="2556" width="4.85546875" style="11" customWidth="1"/>
    <col min="2557" max="2557" width="5.140625" style="11" customWidth="1"/>
    <col min="2558" max="2558" width="12.5703125" style="11" customWidth="1"/>
    <col min="2559" max="2559" width="7.5703125" style="11" customWidth="1"/>
    <col min="2560" max="2560" width="6.85546875" style="11" customWidth="1"/>
    <col min="2561" max="2561" width="7" style="11" bestFit="1" customWidth="1"/>
    <col min="2562" max="2562" width="8.85546875" style="11" bestFit="1" customWidth="1"/>
    <col min="2563" max="2563" width="6.85546875" style="11" customWidth="1"/>
    <col min="2564" max="2565" width="7.5703125" style="11" customWidth="1"/>
    <col min="2566" max="2566" width="8.5703125" style="11" bestFit="1" customWidth="1"/>
    <col min="2567" max="2567" width="6.85546875" style="11" customWidth="1"/>
    <col min="2568" max="2568" width="8.140625" style="11" customWidth="1"/>
    <col min="2569" max="2569" width="13.85546875" style="11" bestFit="1" customWidth="1"/>
    <col min="2570" max="2570" width="6.85546875" style="11" customWidth="1"/>
    <col min="2571" max="2571" width="7.85546875" style="11" customWidth="1"/>
    <col min="2572" max="2572" width="6.85546875" style="11" customWidth="1"/>
    <col min="2573" max="2574" width="5.140625" style="11" customWidth="1"/>
    <col min="2575" max="2575" width="7.5703125" style="11" customWidth="1"/>
    <col min="2576" max="2576" width="8.140625" style="11" bestFit="1" customWidth="1"/>
    <col min="2577" max="2577" width="8.85546875" style="11" customWidth="1"/>
    <col min="2578" max="2578" width="9.42578125" style="11" customWidth="1"/>
    <col min="2579" max="2579" width="9.140625" style="11" customWidth="1"/>
    <col min="2580" max="2580" width="4.5703125" style="11" customWidth="1"/>
    <col min="2581" max="2810" width="9.140625" style="11"/>
    <col min="2811" max="2811" width="8.140625" style="11" customWidth="1"/>
    <col min="2812" max="2812" width="4.85546875" style="11" customWidth="1"/>
    <col min="2813" max="2813" width="5.140625" style="11" customWidth="1"/>
    <col min="2814" max="2814" width="12.5703125" style="11" customWidth="1"/>
    <col min="2815" max="2815" width="7.5703125" style="11" customWidth="1"/>
    <col min="2816" max="2816" width="6.85546875" style="11" customWidth="1"/>
    <col min="2817" max="2817" width="7" style="11" bestFit="1" customWidth="1"/>
    <col min="2818" max="2818" width="8.85546875" style="11" bestFit="1" customWidth="1"/>
    <col min="2819" max="2819" width="6.85546875" style="11" customWidth="1"/>
    <col min="2820" max="2821" width="7.5703125" style="11" customWidth="1"/>
    <col min="2822" max="2822" width="8.5703125" style="11" bestFit="1" customWidth="1"/>
    <col min="2823" max="2823" width="6.85546875" style="11" customWidth="1"/>
    <col min="2824" max="2824" width="8.140625" style="11" customWidth="1"/>
    <col min="2825" max="2825" width="13.85546875" style="11" bestFit="1" customWidth="1"/>
    <col min="2826" max="2826" width="6.85546875" style="11" customWidth="1"/>
    <col min="2827" max="2827" width="7.85546875" style="11" customWidth="1"/>
    <col min="2828" max="2828" width="6.85546875" style="11" customWidth="1"/>
    <col min="2829" max="2830" width="5.140625" style="11" customWidth="1"/>
    <col min="2831" max="2831" width="7.5703125" style="11" customWidth="1"/>
    <col min="2832" max="2832" width="8.140625" style="11" bestFit="1" customWidth="1"/>
    <col min="2833" max="2833" width="8.85546875" style="11" customWidth="1"/>
    <col min="2834" max="2834" width="9.42578125" style="11" customWidth="1"/>
    <col min="2835" max="2835" width="9.140625" style="11" customWidth="1"/>
    <col min="2836" max="2836" width="4.5703125" style="11" customWidth="1"/>
    <col min="2837" max="3066" width="9.140625" style="11"/>
    <col min="3067" max="3067" width="8.140625" style="11" customWidth="1"/>
    <col min="3068" max="3068" width="4.85546875" style="11" customWidth="1"/>
    <col min="3069" max="3069" width="5.140625" style="11" customWidth="1"/>
    <col min="3070" max="3070" width="12.5703125" style="11" customWidth="1"/>
    <col min="3071" max="3071" width="7.5703125" style="11" customWidth="1"/>
    <col min="3072" max="3072" width="6.85546875" style="11" customWidth="1"/>
    <col min="3073" max="3073" width="7" style="11" bestFit="1" customWidth="1"/>
    <col min="3074" max="3074" width="8.85546875" style="11" bestFit="1" customWidth="1"/>
    <col min="3075" max="3075" width="6.85546875" style="11" customWidth="1"/>
    <col min="3076" max="3077" width="7.5703125" style="11" customWidth="1"/>
    <col min="3078" max="3078" width="8.5703125" style="11" bestFit="1" customWidth="1"/>
    <col min="3079" max="3079" width="6.85546875" style="11" customWidth="1"/>
    <col min="3080" max="3080" width="8.140625" style="11" customWidth="1"/>
    <col min="3081" max="3081" width="13.85546875" style="11" bestFit="1" customWidth="1"/>
    <col min="3082" max="3082" width="6.85546875" style="11" customWidth="1"/>
    <col min="3083" max="3083" width="7.85546875" style="11" customWidth="1"/>
    <col min="3084" max="3084" width="6.85546875" style="11" customWidth="1"/>
    <col min="3085" max="3086" width="5.140625" style="11" customWidth="1"/>
    <col min="3087" max="3087" width="7.5703125" style="11" customWidth="1"/>
    <col min="3088" max="3088" width="8.140625" style="11" bestFit="1" customWidth="1"/>
    <col min="3089" max="3089" width="8.85546875" style="11" customWidth="1"/>
    <col min="3090" max="3090" width="9.42578125" style="11" customWidth="1"/>
    <col min="3091" max="3091" width="9.140625" style="11" customWidth="1"/>
    <col min="3092" max="3092" width="4.5703125" style="11" customWidth="1"/>
    <col min="3093" max="3322" width="9.140625" style="11"/>
    <col min="3323" max="3323" width="8.140625" style="11" customWidth="1"/>
    <col min="3324" max="3324" width="4.85546875" style="11" customWidth="1"/>
    <col min="3325" max="3325" width="5.140625" style="11" customWidth="1"/>
    <col min="3326" max="3326" width="12.5703125" style="11" customWidth="1"/>
    <col min="3327" max="3327" width="7.5703125" style="11" customWidth="1"/>
    <col min="3328" max="3328" width="6.85546875" style="11" customWidth="1"/>
    <col min="3329" max="3329" width="7" style="11" bestFit="1" customWidth="1"/>
    <col min="3330" max="3330" width="8.85546875" style="11" bestFit="1" customWidth="1"/>
    <col min="3331" max="3331" width="6.85546875" style="11" customWidth="1"/>
    <col min="3332" max="3333" width="7.5703125" style="11" customWidth="1"/>
    <col min="3334" max="3334" width="8.5703125" style="11" bestFit="1" customWidth="1"/>
    <col min="3335" max="3335" width="6.85546875" style="11" customWidth="1"/>
    <col min="3336" max="3336" width="8.140625" style="11" customWidth="1"/>
    <col min="3337" max="3337" width="13.85546875" style="11" bestFit="1" customWidth="1"/>
    <col min="3338" max="3338" width="6.85546875" style="11" customWidth="1"/>
    <col min="3339" max="3339" width="7.85546875" style="11" customWidth="1"/>
    <col min="3340" max="3340" width="6.85546875" style="11" customWidth="1"/>
    <col min="3341" max="3342" width="5.140625" style="11" customWidth="1"/>
    <col min="3343" max="3343" width="7.5703125" style="11" customWidth="1"/>
    <col min="3344" max="3344" width="8.140625" style="11" bestFit="1" customWidth="1"/>
    <col min="3345" max="3345" width="8.85546875" style="11" customWidth="1"/>
    <col min="3346" max="3346" width="9.42578125" style="11" customWidth="1"/>
    <col min="3347" max="3347" width="9.140625" style="11" customWidth="1"/>
    <col min="3348" max="3348" width="4.5703125" style="11" customWidth="1"/>
    <col min="3349" max="3578" width="9.140625" style="11"/>
    <col min="3579" max="3579" width="8.140625" style="11" customWidth="1"/>
    <col min="3580" max="3580" width="4.85546875" style="11" customWidth="1"/>
    <col min="3581" max="3581" width="5.140625" style="11" customWidth="1"/>
    <col min="3582" max="3582" width="12.5703125" style="11" customWidth="1"/>
    <col min="3583" max="3583" width="7.5703125" style="11" customWidth="1"/>
    <col min="3584" max="3584" width="6.85546875" style="11" customWidth="1"/>
    <col min="3585" max="3585" width="7" style="11" bestFit="1" customWidth="1"/>
    <col min="3586" max="3586" width="8.85546875" style="11" bestFit="1" customWidth="1"/>
    <col min="3587" max="3587" width="6.85546875" style="11" customWidth="1"/>
    <col min="3588" max="3589" width="7.5703125" style="11" customWidth="1"/>
    <col min="3590" max="3590" width="8.5703125" style="11" bestFit="1" customWidth="1"/>
    <col min="3591" max="3591" width="6.85546875" style="11" customWidth="1"/>
    <col min="3592" max="3592" width="8.140625" style="11" customWidth="1"/>
    <col min="3593" max="3593" width="13.85546875" style="11" bestFit="1" customWidth="1"/>
    <col min="3594" max="3594" width="6.85546875" style="11" customWidth="1"/>
    <col min="3595" max="3595" width="7.85546875" style="11" customWidth="1"/>
    <col min="3596" max="3596" width="6.85546875" style="11" customWidth="1"/>
    <col min="3597" max="3598" width="5.140625" style="11" customWidth="1"/>
    <col min="3599" max="3599" width="7.5703125" style="11" customWidth="1"/>
    <col min="3600" max="3600" width="8.140625" style="11" bestFit="1" customWidth="1"/>
    <col min="3601" max="3601" width="8.85546875" style="11" customWidth="1"/>
    <col min="3602" max="3602" width="9.42578125" style="11" customWidth="1"/>
    <col min="3603" max="3603" width="9.140625" style="11" customWidth="1"/>
    <col min="3604" max="3604" width="4.5703125" style="11" customWidth="1"/>
    <col min="3605" max="3834" width="9.140625" style="11"/>
    <col min="3835" max="3835" width="8.140625" style="11" customWidth="1"/>
    <col min="3836" max="3836" width="4.85546875" style="11" customWidth="1"/>
    <col min="3837" max="3837" width="5.140625" style="11" customWidth="1"/>
    <col min="3838" max="3838" width="12.5703125" style="11" customWidth="1"/>
    <col min="3839" max="3839" width="7.5703125" style="11" customWidth="1"/>
    <col min="3840" max="3840" width="6.85546875" style="11" customWidth="1"/>
    <col min="3841" max="3841" width="7" style="11" bestFit="1" customWidth="1"/>
    <col min="3842" max="3842" width="8.85546875" style="11" bestFit="1" customWidth="1"/>
    <col min="3843" max="3843" width="6.85546875" style="11" customWidth="1"/>
    <col min="3844" max="3845" width="7.5703125" style="11" customWidth="1"/>
    <col min="3846" max="3846" width="8.5703125" style="11" bestFit="1" customWidth="1"/>
    <col min="3847" max="3847" width="6.85546875" style="11" customWidth="1"/>
    <col min="3848" max="3848" width="8.140625" style="11" customWidth="1"/>
    <col min="3849" max="3849" width="13.85546875" style="11" bestFit="1" customWidth="1"/>
    <col min="3850" max="3850" width="6.85546875" style="11" customWidth="1"/>
    <col min="3851" max="3851" width="7.85546875" style="11" customWidth="1"/>
    <col min="3852" max="3852" width="6.85546875" style="11" customWidth="1"/>
    <col min="3853" max="3854" width="5.140625" style="11" customWidth="1"/>
    <col min="3855" max="3855" width="7.5703125" style="11" customWidth="1"/>
    <col min="3856" max="3856" width="8.140625" style="11" bestFit="1" customWidth="1"/>
    <col min="3857" max="3857" width="8.85546875" style="11" customWidth="1"/>
    <col min="3858" max="3858" width="9.42578125" style="11" customWidth="1"/>
    <col min="3859" max="3859" width="9.140625" style="11" customWidth="1"/>
    <col min="3860" max="3860" width="4.5703125" style="11" customWidth="1"/>
    <col min="3861" max="4090" width="9.140625" style="11"/>
    <col min="4091" max="4091" width="8.140625" style="11" customWidth="1"/>
    <col min="4092" max="4092" width="4.85546875" style="11" customWidth="1"/>
    <col min="4093" max="4093" width="5.140625" style="11" customWidth="1"/>
    <col min="4094" max="4094" width="12.5703125" style="11" customWidth="1"/>
    <col min="4095" max="4095" width="7.5703125" style="11" customWidth="1"/>
    <col min="4096" max="4096" width="6.85546875" style="11" customWidth="1"/>
    <col min="4097" max="4097" width="7" style="11" bestFit="1" customWidth="1"/>
    <col min="4098" max="4098" width="8.85546875" style="11" bestFit="1" customWidth="1"/>
    <col min="4099" max="4099" width="6.85546875" style="11" customWidth="1"/>
    <col min="4100" max="4101" width="7.5703125" style="11" customWidth="1"/>
    <col min="4102" max="4102" width="8.5703125" style="11" bestFit="1" customWidth="1"/>
    <col min="4103" max="4103" width="6.85546875" style="11" customWidth="1"/>
    <col min="4104" max="4104" width="8.140625" style="11" customWidth="1"/>
    <col min="4105" max="4105" width="13.85546875" style="11" bestFit="1" customWidth="1"/>
    <col min="4106" max="4106" width="6.85546875" style="11" customWidth="1"/>
    <col min="4107" max="4107" width="7.85546875" style="11" customWidth="1"/>
    <col min="4108" max="4108" width="6.85546875" style="11" customWidth="1"/>
    <col min="4109" max="4110" width="5.140625" style="11" customWidth="1"/>
    <col min="4111" max="4111" width="7.5703125" style="11" customWidth="1"/>
    <col min="4112" max="4112" width="8.140625" style="11" bestFit="1" customWidth="1"/>
    <col min="4113" max="4113" width="8.85546875" style="11" customWidth="1"/>
    <col min="4114" max="4114" width="9.42578125" style="11" customWidth="1"/>
    <col min="4115" max="4115" width="9.140625" style="11" customWidth="1"/>
    <col min="4116" max="4116" width="4.5703125" style="11" customWidth="1"/>
    <col min="4117" max="4346" width="9.140625" style="11"/>
    <col min="4347" max="4347" width="8.140625" style="11" customWidth="1"/>
    <col min="4348" max="4348" width="4.85546875" style="11" customWidth="1"/>
    <col min="4349" max="4349" width="5.140625" style="11" customWidth="1"/>
    <col min="4350" max="4350" width="12.5703125" style="11" customWidth="1"/>
    <col min="4351" max="4351" width="7.5703125" style="11" customWidth="1"/>
    <col min="4352" max="4352" width="6.85546875" style="11" customWidth="1"/>
    <col min="4353" max="4353" width="7" style="11" bestFit="1" customWidth="1"/>
    <col min="4354" max="4354" width="8.85546875" style="11" bestFit="1" customWidth="1"/>
    <col min="4355" max="4355" width="6.85546875" style="11" customWidth="1"/>
    <col min="4356" max="4357" width="7.5703125" style="11" customWidth="1"/>
    <col min="4358" max="4358" width="8.5703125" style="11" bestFit="1" customWidth="1"/>
    <col min="4359" max="4359" width="6.85546875" style="11" customWidth="1"/>
    <col min="4360" max="4360" width="8.140625" style="11" customWidth="1"/>
    <col min="4361" max="4361" width="13.85546875" style="11" bestFit="1" customWidth="1"/>
    <col min="4362" max="4362" width="6.85546875" style="11" customWidth="1"/>
    <col min="4363" max="4363" width="7.85546875" style="11" customWidth="1"/>
    <col min="4364" max="4364" width="6.85546875" style="11" customWidth="1"/>
    <col min="4365" max="4366" width="5.140625" style="11" customWidth="1"/>
    <col min="4367" max="4367" width="7.5703125" style="11" customWidth="1"/>
    <col min="4368" max="4368" width="8.140625" style="11" bestFit="1" customWidth="1"/>
    <col min="4369" max="4369" width="8.85546875" style="11" customWidth="1"/>
    <col min="4370" max="4370" width="9.42578125" style="11" customWidth="1"/>
    <col min="4371" max="4371" width="9.140625" style="11" customWidth="1"/>
    <col min="4372" max="4372" width="4.5703125" style="11" customWidth="1"/>
    <col min="4373" max="4602" width="9.140625" style="11"/>
    <col min="4603" max="4603" width="8.140625" style="11" customWidth="1"/>
    <col min="4604" max="4604" width="4.85546875" style="11" customWidth="1"/>
    <col min="4605" max="4605" width="5.140625" style="11" customWidth="1"/>
    <col min="4606" max="4606" width="12.5703125" style="11" customWidth="1"/>
    <col min="4607" max="4607" width="7.5703125" style="11" customWidth="1"/>
    <col min="4608" max="4608" width="6.85546875" style="11" customWidth="1"/>
    <col min="4609" max="4609" width="7" style="11" bestFit="1" customWidth="1"/>
    <col min="4610" max="4610" width="8.85546875" style="11" bestFit="1" customWidth="1"/>
    <col min="4611" max="4611" width="6.85546875" style="11" customWidth="1"/>
    <col min="4612" max="4613" width="7.5703125" style="11" customWidth="1"/>
    <col min="4614" max="4614" width="8.5703125" style="11" bestFit="1" customWidth="1"/>
    <col min="4615" max="4615" width="6.85546875" style="11" customWidth="1"/>
    <col min="4616" max="4616" width="8.140625" style="11" customWidth="1"/>
    <col min="4617" max="4617" width="13.85546875" style="11" bestFit="1" customWidth="1"/>
    <col min="4618" max="4618" width="6.85546875" style="11" customWidth="1"/>
    <col min="4619" max="4619" width="7.85546875" style="11" customWidth="1"/>
    <col min="4620" max="4620" width="6.85546875" style="11" customWidth="1"/>
    <col min="4621" max="4622" width="5.140625" style="11" customWidth="1"/>
    <col min="4623" max="4623" width="7.5703125" style="11" customWidth="1"/>
    <col min="4624" max="4624" width="8.140625" style="11" bestFit="1" customWidth="1"/>
    <col min="4625" max="4625" width="8.85546875" style="11" customWidth="1"/>
    <col min="4626" max="4626" width="9.42578125" style="11" customWidth="1"/>
    <col min="4627" max="4627" width="9.140625" style="11" customWidth="1"/>
    <col min="4628" max="4628" width="4.5703125" style="11" customWidth="1"/>
    <col min="4629" max="4858" width="9.140625" style="11"/>
    <col min="4859" max="4859" width="8.140625" style="11" customWidth="1"/>
    <col min="4860" max="4860" width="4.85546875" style="11" customWidth="1"/>
    <col min="4861" max="4861" width="5.140625" style="11" customWidth="1"/>
    <col min="4862" max="4862" width="12.5703125" style="11" customWidth="1"/>
    <col min="4863" max="4863" width="7.5703125" style="11" customWidth="1"/>
    <col min="4864" max="4864" width="6.85546875" style="11" customWidth="1"/>
    <col min="4865" max="4865" width="7" style="11" bestFit="1" customWidth="1"/>
    <col min="4866" max="4866" width="8.85546875" style="11" bestFit="1" customWidth="1"/>
    <col min="4867" max="4867" width="6.85546875" style="11" customWidth="1"/>
    <col min="4868" max="4869" width="7.5703125" style="11" customWidth="1"/>
    <col min="4870" max="4870" width="8.5703125" style="11" bestFit="1" customWidth="1"/>
    <col min="4871" max="4871" width="6.85546875" style="11" customWidth="1"/>
    <col min="4872" max="4872" width="8.140625" style="11" customWidth="1"/>
    <col min="4873" max="4873" width="13.85546875" style="11" bestFit="1" customWidth="1"/>
    <col min="4874" max="4874" width="6.85546875" style="11" customWidth="1"/>
    <col min="4875" max="4875" width="7.85546875" style="11" customWidth="1"/>
    <col min="4876" max="4876" width="6.85546875" style="11" customWidth="1"/>
    <col min="4877" max="4878" width="5.140625" style="11" customWidth="1"/>
    <col min="4879" max="4879" width="7.5703125" style="11" customWidth="1"/>
    <col min="4880" max="4880" width="8.140625" style="11" bestFit="1" customWidth="1"/>
    <col min="4881" max="4881" width="8.85546875" style="11" customWidth="1"/>
    <col min="4882" max="4882" width="9.42578125" style="11" customWidth="1"/>
    <col min="4883" max="4883" width="9.140625" style="11" customWidth="1"/>
    <col min="4884" max="4884" width="4.5703125" style="11" customWidth="1"/>
    <col min="4885" max="5114" width="9.140625" style="11"/>
    <col min="5115" max="5115" width="8.140625" style="11" customWidth="1"/>
    <col min="5116" max="5116" width="4.85546875" style="11" customWidth="1"/>
    <col min="5117" max="5117" width="5.140625" style="11" customWidth="1"/>
    <col min="5118" max="5118" width="12.5703125" style="11" customWidth="1"/>
    <col min="5119" max="5119" width="7.5703125" style="11" customWidth="1"/>
    <col min="5120" max="5120" width="6.85546875" style="11" customWidth="1"/>
    <col min="5121" max="5121" width="7" style="11" bestFit="1" customWidth="1"/>
    <col min="5122" max="5122" width="8.85546875" style="11" bestFit="1" customWidth="1"/>
    <col min="5123" max="5123" width="6.85546875" style="11" customWidth="1"/>
    <col min="5124" max="5125" width="7.5703125" style="11" customWidth="1"/>
    <col min="5126" max="5126" width="8.5703125" style="11" bestFit="1" customWidth="1"/>
    <col min="5127" max="5127" width="6.85546875" style="11" customWidth="1"/>
    <col min="5128" max="5128" width="8.140625" style="11" customWidth="1"/>
    <col min="5129" max="5129" width="13.85546875" style="11" bestFit="1" customWidth="1"/>
    <col min="5130" max="5130" width="6.85546875" style="11" customWidth="1"/>
    <col min="5131" max="5131" width="7.85546875" style="11" customWidth="1"/>
    <col min="5132" max="5132" width="6.85546875" style="11" customWidth="1"/>
    <col min="5133" max="5134" width="5.140625" style="11" customWidth="1"/>
    <col min="5135" max="5135" width="7.5703125" style="11" customWidth="1"/>
    <col min="5136" max="5136" width="8.140625" style="11" bestFit="1" customWidth="1"/>
    <col min="5137" max="5137" width="8.85546875" style="11" customWidth="1"/>
    <col min="5138" max="5138" width="9.42578125" style="11" customWidth="1"/>
    <col min="5139" max="5139" width="9.140625" style="11" customWidth="1"/>
    <col min="5140" max="5140" width="4.5703125" style="11" customWidth="1"/>
    <col min="5141" max="5370" width="9.140625" style="11"/>
    <col min="5371" max="5371" width="8.140625" style="11" customWidth="1"/>
    <col min="5372" max="5372" width="4.85546875" style="11" customWidth="1"/>
    <col min="5373" max="5373" width="5.140625" style="11" customWidth="1"/>
    <col min="5374" max="5374" width="12.5703125" style="11" customWidth="1"/>
    <col min="5375" max="5375" width="7.5703125" style="11" customWidth="1"/>
    <col min="5376" max="5376" width="6.85546875" style="11" customWidth="1"/>
    <col min="5377" max="5377" width="7" style="11" bestFit="1" customWidth="1"/>
    <col min="5378" max="5378" width="8.85546875" style="11" bestFit="1" customWidth="1"/>
    <col min="5379" max="5379" width="6.85546875" style="11" customWidth="1"/>
    <col min="5380" max="5381" width="7.5703125" style="11" customWidth="1"/>
    <col min="5382" max="5382" width="8.5703125" style="11" bestFit="1" customWidth="1"/>
    <col min="5383" max="5383" width="6.85546875" style="11" customWidth="1"/>
    <col min="5384" max="5384" width="8.140625" style="11" customWidth="1"/>
    <col min="5385" max="5385" width="13.85546875" style="11" bestFit="1" customWidth="1"/>
    <col min="5386" max="5386" width="6.85546875" style="11" customWidth="1"/>
    <col min="5387" max="5387" width="7.85546875" style="11" customWidth="1"/>
    <col min="5388" max="5388" width="6.85546875" style="11" customWidth="1"/>
    <col min="5389" max="5390" width="5.140625" style="11" customWidth="1"/>
    <col min="5391" max="5391" width="7.5703125" style="11" customWidth="1"/>
    <col min="5392" max="5392" width="8.140625" style="11" bestFit="1" customWidth="1"/>
    <col min="5393" max="5393" width="8.85546875" style="11" customWidth="1"/>
    <col min="5394" max="5394" width="9.42578125" style="11" customWidth="1"/>
    <col min="5395" max="5395" width="9.140625" style="11" customWidth="1"/>
    <col min="5396" max="5396" width="4.5703125" style="11" customWidth="1"/>
    <col min="5397" max="5626" width="9.140625" style="11"/>
    <col min="5627" max="5627" width="8.140625" style="11" customWidth="1"/>
    <col min="5628" max="5628" width="4.85546875" style="11" customWidth="1"/>
    <col min="5629" max="5629" width="5.140625" style="11" customWidth="1"/>
    <col min="5630" max="5630" width="12.5703125" style="11" customWidth="1"/>
    <col min="5631" max="5631" width="7.5703125" style="11" customWidth="1"/>
    <col min="5632" max="5632" width="6.85546875" style="11" customWidth="1"/>
    <col min="5633" max="5633" width="7" style="11" bestFit="1" customWidth="1"/>
    <col min="5634" max="5634" width="8.85546875" style="11" bestFit="1" customWidth="1"/>
    <col min="5635" max="5635" width="6.85546875" style="11" customWidth="1"/>
    <col min="5636" max="5637" width="7.5703125" style="11" customWidth="1"/>
    <col min="5638" max="5638" width="8.5703125" style="11" bestFit="1" customWidth="1"/>
    <col min="5639" max="5639" width="6.85546875" style="11" customWidth="1"/>
    <col min="5640" max="5640" width="8.140625" style="11" customWidth="1"/>
    <col min="5641" max="5641" width="13.85546875" style="11" bestFit="1" customWidth="1"/>
    <col min="5642" max="5642" width="6.85546875" style="11" customWidth="1"/>
    <col min="5643" max="5643" width="7.85546875" style="11" customWidth="1"/>
    <col min="5644" max="5644" width="6.85546875" style="11" customWidth="1"/>
    <col min="5645" max="5646" width="5.140625" style="11" customWidth="1"/>
    <col min="5647" max="5647" width="7.5703125" style="11" customWidth="1"/>
    <col min="5648" max="5648" width="8.140625" style="11" bestFit="1" customWidth="1"/>
    <col min="5649" max="5649" width="8.85546875" style="11" customWidth="1"/>
    <col min="5650" max="5650" width="9.42578125" style="11" customWidth="1"/>
    <col min="5651" max="5651" width="9.140625" style="11" customWidth="1"/>
    <col min="5652" max="5652" width="4.5703125" style="11" customWidth="1"/>
    <col min="5653" max="5882" width="9.140625" style="11"/>
    <col min="5883" max="5883" width="8.140625" style="11" customWidth="1"/>
    <col min="5884" max="5884" width="4.85546875" style="11" customWidth="1"/>
    <col min="5885" max="5885" width="5.140625" style="11" customWidth="1"/>
    <col min="5886" max="5886" width="12.5703125" style="11" customWidth="1"/>
    <col min="5887" max="5887" width="7.5703125" style="11" customWidth="1"/>
    <col min="5888" max="5888" width="6.85546875" style="11" customWidth="1"/>
    <col min="5889" max="5889" width="7" style="11" bestFit="1" customWidth="1"/>
    <col min="5890" max="5890" width="8.85546875" style="11" bestFit="1" customWidth="1"/>
    <col min="5891" max="5891" width="6.85546875" style="11" customWidth="1"/>
    <col min="5892" max="5893" width="7.5703125" style="11" customWidth="1"/>
    <col min="5894" max="5894" width="8.5703125" style="11" bestFit="1" customWidth="1"/>
    <col min="5895" max="5895" width="6.85546875" style="11" customWidth="1"/>
    <col min="5896" max="5896" width="8.140625" style="11" customWidth="1"/>
    <col min="5897" max="5897" width="13.85546875" style="11" bestFit="1" customWidth="1"/>
    <col min="5898" max="5898" width="6.85546875" style="11" customWidth="1"/>
    <col min="5899" max="5899" width="7.85546875" style="11" customWidth="1"/>
    <col min="5900" max="5900" width="6.85546875" style="11" customWidth="1"/>
    <col min="5901" max="5902" width="5.140625" style="11" customWidth="1"/>
    <col min="5903" max="5903" width="7.5703125" style="11" customWidth="1"/>
    <col min="5904" max="5904" width="8.140625" style="11" bestFit="1" customWidth="1"/>
    <col min="5905" max="5905" width="8.85546875" style="11" customWidth="1"/>
    <col min="5906" max="5906" width="9.42578125" style="11" customWidth="1"/>
    <col min="5907" max="5907" width="9.140625" style="11" customWidth="1"/>
    <col min="5908" max="5908" width="4.5703125" style="11" customWidth="1"/>
    <col min="5909" max="6138" width="9.140625" style="11"/>
    <col min="6139" max="6139" width="8.140625" style="11" customWidth="1"/>
    <col min="6140" max="6140" width="4.85546875" style="11" customWidth="1"/>
    <col min="6141" max="6141" width="5.140625" style="11" customWidth="1"/>
    <col min="6142" max="6142" width="12.5703125" style="11" customWidth="1"/>
    <col min="6143" max="6143" width="7.5703125" style="11" customWidth="1"/>
    <col min="6144" max="6144" width="6.85546875" style="11" customWidth="1"/>
    <col min="6145" max="6145" width="7" style="11" bestFit="1" customWidth="1"/>
    <col min="6146" max="6146" width="8.85546875" style="11" bestFit="1" customWidth="1"/>
    <col min="6147" max="6147" width="6.85546875" style="11" customWidth="1"/>
    <col min="6148" max="6149" width="7.5703125" style="11" customWidth="1"/>
    <col min="6150" max="6150" width="8.5703125" style="11" bestFit="1" customWidth="1"/>
    <col min="6151" max="6151" width="6.85546875" style="11" customWidth="1"/>
    <col min="6152" max="6152" width="8.140625" style="11" customWidth="1"/>
    <col min="6153" max="6153" width="13.85546875" style="11" bestFit="1" customWidth="1"/>
    <col min="6154" max="6154" width="6.85546875" style="11" customWidth="1"/>
    <col min="6155" max="6155" width="7.85546875" style="11" customWidth="1"/>
    <col min="6156" max="6156" width="6.85546875" style="11" customWidth="1"/>
    <col min="6157" max="6158" width="5.140625" style="11" customWidth="1"/>
    <col min="6159" max="6159" width="7.5703125" style="11" customWidth="1"/>
    <col min="6160" max="6160" width="8.140625" style="11" bestFit="1" customWidth="1"/>
    <col min="6161" max="6161" width="8.85546875" style="11" customWidth="1"/>
    <col min="6162" max="6162" width="9.42578125" style="11" customWidth="1"/>
    <col min="6163" max="6163" width="9.140625" style="11" customWidth="1"/>
    <col min="6164" max="6164" width="4.5703125" style="11" customWidth="1"/>
    <col min="6165" max="6394" width="9.140625" style="11"/>
    <col min="6395" max="6395" width="8.140625" style="11" customWidth="1"/>
    <col min="6396" max="6396" width="4.85546875" style="11" customWidth="1"/>
    <col min="6397" max="6397" width="5.140625" style="11" customWidth="1"/>
    <col min="6398" max="6398" width="12.5703125" style="11" customWidth="1"/>
    <col min="6399" max="6399" width="7.5703125" style="11" customWidth="1"/>
    <col min="6400" max="6400" width="6.85546875" style="11" customWidth="1"/>
    <col min="6401" max="6401" width="7" style="11" bestFit="1" customWidth="1"/>
    <col min="6402" max="6402" width="8.85546875" style="11" bestFit="1" customWidth="1"/>
    <col min="6403" max="6403" width="6.85546875" style="11" customWidth="1"/>
    <col min="6404" max="6405" width="7.5703125" style="11" customWidth="1"/>
    <col min="6406" max="6406" width="8.5703125" style="11" bestFit="1" customWidth="1"/>
    <col min="6407" max="6407" width="6.85546875" style="11" customWidth="1"/>
    <col min="6408" max="6408" width="8.140625" style="11" customWidth="1"/>
    <col min="6409" max="6409" width="13.85546875" style="11" bestFit="1" customWidth="1"/>
    <col min="6410" max="6410" width="6.85546875" style="11" customWidth="1"/>
    <col min="6411" max="6411" width="7.85546875" style="11" customWidth="1"/>
    <col min="6412" max="6412" width="6.85546875" style="11" customWidth="1"/>
    <col min="6413" max="6414" width="5.140625" style="11" customWidth="1"/>
    <col min="6415" max="6415" width="7.5703125" style="11" customWidth="1"/>
    <col min="6416" max="6416" width="8.140625" style="11" bestFit="1" customWidth="1"/>
    <col min="6417" max="6417" width="8.85546875" style="11" customWidth="1"/>
    <col min="6418" max="6418" width="9.42578125" style="11" customWidth="1"/>
    <col min="6419" max="6419" width="9.140625" style="11" customWidth="1"/>
    <col min="6420" max="6420" width="4.5703125" style="11" customWidth="1"/>
    <col min="6421" max="6650" width="9.140625" style="11"/>
    <col min="6651" max="6651" width="8.140625" style="11" customWidth="1"/>
    <col min="6652" max="6652" width="4.85546875" style="11" customWidth="1"/>
    <col min="6653" max="6653" width="5.140625" style="11" customWidth="1"/>
    <col min="6654" max="6654" width="12.5703125" style="11" customWidth="1"/>
    <col min="6655" max="6655" width="7.5703125" style="11" customWidth="1"/>
    <col min="6656" max="6656" width="6.85546875" style="11" customWidth="1"/>
    <col min="6657" max="6657" width="7" style="11" bestFit="1" customWidth="1"/>
    <col min="6658" max="6658" width="8.85546875" style="11" bestFit="1" customWidth="1"/>
    <col min="6659" max="6659" width="6.85546875" style="11" customWidth="1"/>
    <col min="6660" max="6661" width="7.5703125" style="11" customWidth="1"/>
    <col min="6662" max="6662" width="8.5703125" style="11" bestFit="1" customWidth="1"/>
    <col min="6663" max="6663" width="6.85546875" style="11" customWidth="1"/>
    <col min="6664" max="6664" width="8.140625" style="11" customWidth="1"/>
    <col min="6665" max="6665" width="13.85546875" style="11" bestFit="1" customWidth="1"/>
    <col min="6666" max="6666" width="6.85546875" style="11" customWidth="1"/>
    <col min="6667" max="6667" width="7.85546875" style="11" customWidth="1"/>
    <col min="6668" max="6668" width="6.85546875" style="11" customWidth="1"/>
    <col min="6669" max="6670" width="5.140625" style="11" customWidth="1"/>
    <col min="6671" max="6671" width="7.5703125" style="11" customWidth="1"/>
    <col min="6672" max="6672" width="8.140625" style="11" bestFit="1" customWidth="1"/>
    <col min="6673" max="6673" width="8.85546875" style="11" customWidth="1"/>
    <col min="6674" max="6674" width="9.42578125" style="11" customWidth="1"/>
    <col min="6675" max="6675" width="9.140625" style="11" customWidth="1"/>
    <col min="6676" max="6676" width="4.5703125" style="11" customWidth="1"/>
    <col min="6677" max="6906" width="9.140625" style="11"/>
    <col min="6907" max="6907" width="8.140625" style="11" customWidth="1"/>
    <col min="6908" max="6908" width="4.85546875" style="11" customWidth="1"/>
    <col min="6909" max="6909" width="5.140625" style="11" customWidth="1"/>
    <col min="6910" max="6910" width="12.5703125" style="11" customWidth="1"/>
    <col min="6911" max="6911" width="7.5703125" style="11" customWidth="1"/>
    <col min="6912" max="6912" width="6.85546875" style="11" customWidth="1"/>
    <col min="6913" max="6913" width="7" style="11" bestFit="1" customWidth="1"/>
    <col min="6914" max="6914" width="8.85546875" style="11" bestFit="1" customWidth="1"/>
    <col min="6915" max="6915" width="6.85546875" style="11" customWidth="1"/>
    <col min="6916" max="6917" width="7.5703125" style="11" customWidth="1"/>
    <col min="6918" max="6918" width="8.5703125" style="11" bestFit="1" customWidth="1"/>
    <col min="6919" max="6919" width="6.85546875" style="11" customWidth="1"/>
    <col min="6920" max="6920" width="8.140625" style="11" customWidth="1"/>
    <col min="6921" max="6921" width="13.85546875" style="11" bestFit="1" customWidth="1"/>
    <col min="6922" max="6922" width="6.85546875" style="11" customWidth="1"/>
    <col min="6923" max="6923" width="7.85546875" style="11" customWidth="1"/>
    <col min="6924" max="6924" width="6.85546875" style="11" customWidth="1"/>
    <col min="6925" max="6926" width="5.140625" style="11" customWidth="1"/>
    <col min="6927" max="6927" width="7.5703125" style="11" customWidth="1"/>
    <col min="6928" max="6928" width="8.140625" style="11" bestFit="1" customWidth="1"/>
    <col min="6929" max="6929" width="8.85546875" style="11" customWidth="1"/>
    <col min="6930" max="6930" width="9.42578125" style="11" customWidth="1"/>
    <col min="6931" max="6931" width="9.140625" style="11" customWidth="1"/>
    <col min="6932" max="6932" width="4.5703125" style="11" customWidth="1"/>
    <col min="6933" max="7162" width="9.140625" style="11"/>
    <col min="7163" max="7163" width="8.140625" style="11" customWidth="1"/>
    <col min="7164" max="7164" width="4.85546875" style="11" customWidth="1"/>
    <col min="7165" max="7165" width="5.140625" style="11" customWidth="1"/>
    <col min="7166" max="7166" width="12.5703125" style="11" customWidth="1"/>
    <col min="7167" max="7167" width="7.5703125" style="11" customWidth="1"/>
    <col min="7168" max="7168" width="6.85546875" style="11" customWidth="1"/>
    <col min="7169" max="7169" width="7" style="11" bestFit="1" customWidth="1"/>
    <col min="7170" max="7170" width="8.85546875" style="11" bestFit="1" customWidth="1"/>
    <col min="7171" max="7171" width="6.85546875" style="11" customWidth="1"/>
    <col min="7172" max="7173" width="7.5703125" style="11" customWidth="1"/>
    <col min="7174" max="7174" width="8.5703125" style="11" bestFit="1" customWidth="1"/>
    <col min="7175" max="7175" width="6.85546875" style="11" customWidth="1"/>
    <col min="7176" max="7176" width="8.140625" style="11" customWidth="1"/>
    <col min="7177" max="7177" width="13.85546875" style="11" bestFit="1" customWidth="1"/>
    <col min="7178" max="7178" width="6.85546875" style="11" customWidth="1"/>
    <col min="7179" max="7179" width="7.85546875" style="11" customWidth="1"/>
    <col min="7180" max="7180" width="6.85546875" style="11" customWidth="1"/>
    <col min="7181" max="7182" width="5.140625" style="11" customWidth="1"/>
    <col min="7183" max="7183" width="7.5703125" style="11" customWidth="1"/>
    <col min="7184" max="7184" width="8.140625" style="11" bestFit="1" customWidth="1"/>
    <col min="7185" max="7185" width="8.85546875" style="11" customWidth="1"/>
    <col min="7186" max="7186" width="9.42578125" style="11" customWidth="1"/>
    <col min="7187" max="7187" width="9.140625" style="11" customWidth="1"/>
    <col min="7188" max="7188" width="4.5703125" style="11" customWidth="1"/>
    <col min="7189" max="7418" width="9.140625" style="11"/>
    <col min="7419" max="7419" width="8.140625" style="11" customWidth="1"/>
    <col min="7420" max="7420" width="4.85546875" style="11" customWidth="1"/>
    <col min="7421" max="7421" width="5.140625" style="11" customWidth="1"/>
    <col min="7422" max="7422" width="12.5703125" style="11" customWidth="1"/>
    <col min="7423" max="7423" width="7.5703125" style="11" customWidth="1"/>
    <col min="7424" max="7424" width="6.85546875" style="11" customWidth="1"/>
    <col min="7425" max="7425" width="7" style="11" bestFit="1" customWidth="1"/>
    <col min="7426" max="7426" width="8.85546875" style="11" bestFit="1" customWidth="1"/>
    <col min="7427" max="7427" width="6.85546875" style="11" customWidth="1"/>
    <col min="7428" max="7429" width="7.5703125" style="11" customWidth="1"/>
    <col min="7430" max="7430" width="8.5703125" style="11" bestFit="1" customWidth="1"/>
    <col min="7431" max="7431" width="6.85546875" style="11" customWidth="1"/>
    <col min="7432" max="7432" width="8.140625" style="11" customWidth="1"/>
    <col min="7433" max="7433" width="13.85546875" style="11" bestFit="1" customWidth="1"/>
    <col min="7434" max="7434" width="6.85546875" style="11" customWidth="1"/>
    <col min="7435" max="7435" width="7.85546875" style="11" customWidth="1"/>
    <col min="7436" max="7436" width="6.85546875" style="11" customWidth="1"/>
    <col min="7437" max="7438" width="5.140625" style="11" customWidth="1"/>
    <col min="7439" max="7439" width="7.5703125" style="11" customWidth="1"/>
    <col min="7440" max="7440" width="8.140625" style="11" bestFit="1" customWidth="1"/>
    <col min="7441" max="7441" width="8.85546875" style="11" customWidth="1"/>
    <col min="7442" max="7442" width="9.42578125" style="11" customWidth="1"/>
    <col min="7443" max="7443" width="9.140625" style="11" customWidth="1"/>
    <col min="7444" max="7444" width="4.5703125" style="11" customWidth="1"/>
    <col min="7445" max="7674" width="9.140625" style="11"/>
    <col min="7675" max="7675" width="8.140625" style="11" customWidth="1"/>
    <col min="7676" max="7676" width="4.85546875" style="11" customWidth="1"/>
    <col min="7677" max="7677" width="5.140625" style="11" customWidth="1"/>
    <col min="7678" max="7678" width="12.5703125" style="11" customWidth="1"/>
    <col min="7679" max="7679" width="7.5703125" style="11" customWidth="1"/>
    <col min="7680" max="7680" width="6.85546875" style="11" customWidth="1"/>
    <col min="7681" max="7681" width="7" style="11" bestFit="1" customWidth="1"/>
    <col min="7682" max="7682" width="8.85546875" style="11" bestFit="1" customWidth="1"/>
    <col min="7683" max="7683" width="6.85546875" style="11" customWidth="1"/>
    <col min="7684" max="7685" width="7.5703125" style="11" customWidth="1"/>
    <col min="7686" max="7686" width="8.5703125" style="11" bestFit="1" customWidth="1"/>
    <col min="7687" max="7687" width="6.85546875" style="11" customWidth="1"/>
    <col min="7688" max="7688" width="8.140625" style="11" customWidth="1"/>
    <col min="7689" max="7689" width="13.85546875" style="11" bestFit="1" customWidth="1"/>
    <col min="7690" max="7690" width="6.85546875" style="11" customWidth="1"/>
    <col min="7691" max="7691" width="7.85546875" style="11" customWidth="1"/>
    <col min="7692" max="7692" width="6.85546875" style="11" customWidth="1"/>
    <col min="7693" max="7694" width="5.140625" style="11" customWidth="1"/>
    <col min="7695" max="7695" width="7.5703125" style="11" customWidth="1"/>
    <col min="7696" max="7696" width="8.140625" style="11" bestFit="1" customWidth="1"/>
    <col min="7697" max="7697" width="8.85546875" style="11" customWidth="1"/>
    <col min="7698" max="7698" width="9.42578125" style="11" customWidth="1"/>
    <col min="7699" max="7699" width="9.140625" style="11" customWidth="1"/>
    <col min="7700" max="7700" width="4.5703125" style="11" customWidth="1"/>
    <col min="7701" max="7930" width="9.140625" style="11"/>
    <col min="7931" max="7931" width="8.140625" style="11" customWidth="1"/>
    <col min="7932" max="7932" width="4.85546875" style="11" customWidth="1"/>
    <col min="7933" max="7933" width="5.140625" style="11" customWidth="1"/>
    <col min="7934" max="7934" width="12.5703125" style="11" customWidth="1"/>
    <col min="7935" max="7935" width="7.5703125" style="11" customWidth="1"/>
    <col min="7936" max="7936" width="6.85546875" style="11" customWidth="1"/>
    <col min="7937" max="7937" width="7" style="11" bestFit="1" customWidth="1"/>
    <col min="7938" max="7938" width="8.85546875" style="11" bestFit="1" customWidth="1"/>
    <col min="7939" max="7939" width="6.85546875" style="11" customWidth="1"/>
    <col min="7940" max="7941" width="7.5703125" style="11" customWidth="1"/>
    <col min="7942" max="7942" width="8.5703125" style="11" bestFit="1" customWidth="1"/>
    <col min="7943" max="7943" width="6.85546875" style="11" customWidth="1"/>
    <col min="7944" max="7944" width="8.140625" style="11" customWidth="1"/>
    <col min="7945" max="7945" width="13.85546875" style="11" bestFit="1" customWidth="1"/>
    <col min="7946" max="7946" width="6.85546875" style="11" customWidth="1"/>
    <col min="7947" max="7947" width="7.85546875" style="11" customWidth="1"/>
    <col min="7948" max="7948" width="6.85546875" style="11" customWidth="1"/>
    <col min="7949" max="7950" width="5.140625" style="11" customWidth="1"/>
    <col min="7951" max="7951" width="7.5703125" style="11" customWidth="1"/>
    <col min="7952" max="7952" width="8.140625" style="11" bestFit="1" customWidth="1"/>
    <col min="7953" max="7953" width="8.85546875" style="11" customWidth="1"/>
    <col min="7954" max="7954" width="9.42578125" style="11" customWidth="1"/>
    <col min="7955" max="7955" width="9.140625" style="11" customWidth="1"/>
    <col min="7956" max="7956" width="4.5703125" style="11" customWidth="1"/>
    <col min="7957" max="8186" width="9.140625" style="11"/>
    <col min="8187" max="8187" width="8.140625" style="11" customWidth="1"/>
    <col min="8188" max="8188" width="4.85546875" style="11" customWidth="1"/>
    <col min="8189" max="8189" width="5.140625" style="11" customWidth="1"/>
    <col min="8190" max="8190" width="12.5703125" style="11" customWidth="1"/>
    <col min="8191" max="8191" width="7.5703125" style="11" customWidth="1"/>
    <col min="8192" max="8192" width="6.85546875" style="11" customWidth="1"/>
    <col min="8193" max="8193" width="7" style="11" bestFit="1" customWidth="1"/>
    <col min="8194" max="8194" width="8.85546875" style="11" bestFit="1" customWidth="1"/>
    <col min="8195" max="8195" width="6.85546875" style="11" customWidth="1"/>
    <col min="8196" max="8197" width="7.5703125" style="11" customWidth="1"/>
    <col min="8198" max="8198" width="8.5703125" style="11" bestFit="1" customWidth="1"/>
    <col min="8199" max="8199" width="6.85546875" style="11" customWidth="1"/>
    <col min="8200" max="8200" width="8.140625" style="11" customWidth="1"/>
    <col min="8201" max="8201" width="13.85546875" style="11" bestFit="1" customWidth="1"/>
    <col min="8202" max="8202" width="6.85546875" style="11" customWidth="1"/>
    <col min="8203" max="8203" width="7.85546875" style="11" customWidth="1"/>
    <col min="8204" max="8204" width="6.85546875" style="11" customWidth="1"/>
    <col min="8205" max="8206" width="5.140625" style="11" customWidth="1"/>
    <col min="8207" max="8207" width="7.5703125" style="11" customWidth="1"/>
    <col min="8208" max="8208" width="8.140625" style="11" bestFit="1" customWidth="1"/>
    <col min="8209" max="8209" width="8.85546875" style="11" customWidth="1"/>
    <col min="8210" max="8210" width="9.42578125" style="11" customWidth="1"/>
    <col min="8211" max="8211" width="9.140625" style="11" customWidth="1"/>
    <col min="8212" max="8212" width="4.5703125" style="11" customWidth="1"/>
    <col min="8213" max="8442" width="9.140625" style="11"/>
    <col min="8443" max="8443" width="8.140625" style="11" customWidth="1"/>
    <col min="8444" max="8444" width="4.85546875" style="11" customWidth="1"/>
    <col min="8445" max="8445" width="5.140625" style="11" customWidth="1"/>
    <col min="8446" max="8446" width="12.5703125" style="11" customWidth="1"/>
    <col min="8447" max="8447" width="7.5703125" style="11" customWidth="1"/>
    <col min="8448" max="8448" width="6.85546875" style="11" customWidth="1"/>
    <col min="8449" max="8449" width="7" style="11" bestFit="1" customWidth="1"/>
    <col min="8450" max="8450" width="8.85546875" style="11" bestFit="1" customWidth="1"/>
    <col min="8451" max="8451" width="6.85546875" style="11" customWidth="1"/>
    <col min="8452" max="8453" width="7.5703125" style="11" customWidth="1"/>
    <col min="8454" max="8454" width="8.5703125" style="11" bestFit="1" customWidth="1"/>
    <col min="8455" max="8455" width="6.85546875" style="11" customWidth="1"/>
    <col min="8456" max="8456" width="8.140625" style="11" customWidth="1"/>
    <col min="8457" max="8457" width="13.85546875" style="11" bestFit="1" customWidth="1"/>
    <col min="8458" max="8458" width="6.85546875" style="11" customWidth="1"/>
    <col min="8459" max="8459" width="7.85546875" style="11" customWidth="1"/>
    <col min="8460" max="8460" width="6.85546875" style="11" customWidth="1"/>
    <col min="8461" max="8462" width="5.140625" style="11" customWidth="1"/>
    <col min="8463" max="8463" width="7.5703125" style="11" customWidth="1"/>
    <col min="8464" max="8464" width="8.140625" style="11" bestFit="1" customWidth="1"/>
    <col min="8465" max="8465" width="8.85546875" style="11" customWidth="1"/>
    <col min="8466" max="8466" width="9.42578125" style="11" customWidth="1"/>
    <col min="8467" max="8467" width="9.140625" style="11" customWidth="1"/>
    <col min="8468" max="8468" width="4.5703125" style="11" customWidth="1"/>
    <col min="8469" max="8698" width="9.140625" style="11"/>
    <col min="8699" max="8699" width="8.140625" style="11" customWidth="1"/>
    <col min="8700" max="8700" width="4.85546875" style="11" customWidth="1"/>
    <col min="8701" max="8701" width="5.140625" style="11" customWidth="1"/>
    <col min="8702" max="8702" width="12.5703125" style="11" customWidth="1"/>
    <col min="8703" max="8703" width="7.5703125" style="11" customWidth="1"/>
    <col min="8704" max="8704" width="6.85546875" style="11" customWidth="1"/>
    <col min="8705" max="8705" width="7" style="11" bestFit="1" customWidth="1"/>
    <col min="8706" max="8706" width="8.85546875" style="11" bestFit="1" customWidth="1"/>
    <col min="8707" max="8707" width="6.85546875" style="11" customWidth="1"/>
    <col min="8708" max="8709" width="7.5703125" style="11" customWidth="1"/>
    <col min="8710" max="8710" width="8.5703125" style="11" bestFit="1" customWidth="1"/>
    <col min="8711" max="8711" width="6.85546875" style="11" customWidth="1"/>
    <col min="8712" max="8712" width="8.140625" style="11" customWidth="1"/>
    <col min="8713" max="8713" width="13.85546875" style="11" bestFit="1" customWidth="1"/>
    <col min="8714" max="8714" width="6.85546875" style="11" customWidth="1"/>
    <col min="8715" max="8715" width="7.85546875" style="11" customWidth="1"/>
    <col min="8716" max="8716" width="6.85546875" style="11" customWidth="1"/>
    <col min="8717" max="8718" width="5.140625" style="11" customWidth="1"/>
    <col min="8719" max="8719" width="7.5703125" style="11" customWidth="1"/>
    <col min="8720" max="8720" width="8.140625" style="11" bestFit="1" customWidth="1"/>
    <col min="8721" max="8721" width="8.85546875" style="11" customWidth="1"/>
    <col min="8722" max="8722" width="9.42578125" style="11" customWidth="1"/>
    <col min="8723" max="8723" width="9.140625" style="11" customWidth="1"/>
    <col min="8724" max="8724" width="4.5703125" style="11" customWidth="1"/>
    <col min="8725" max="8954" width="9.140625" style="11"/>
    <col min="8955" max="8955" width="8.140625" style="11" customWidth="1"/>
    <col min="8956" max="8956" width="4.85546875" style="11" customWidth="1"/>
    <col min="8957" max="8957" width="5.140625" style="11" customWidth="1"/>
    <col min="8958" max="8958" width="12.5703125" style="11" customWidth="1"/>
    <col min="8959" max="8959" width="7.5703125" style="11" customWidth="1"/>
    <col min="8960" max="8960" width="6.85546875" style="11" customWidth="1"/>
    <col min="8961" max="8961" width="7" style="11" bestFit="1" customWidth="1"/>
    <col min="8962" max="8962" width="8.85546875" style="11" bestFit="1" customWidth="1"/>
    <col min="8963" max="8963" width="6.85546875" style="11" customWidth="1"/>
    <col min="8964" max="8965" width="7.5703125" style="11" customWidth="1"/>
    <col min="8966" max="8966" width="8.5703125" style="11" bestFit="1" customWidth="1"/>
    <col min="8967" max="8967" width="6.85546875" style="11" customWidth="1"/>
    <col min="8968" max="8968" width="8.140625" style="11" customWidth="1"/>
    <col min="8969" max="8969" width="13.85546875" style="11" bestFit="1" customWidth="1"/>
    <col min="8970" max="8970" width="6.85546875" style="11" customWidth="1"/>
    <col min="8971" max="8971" width="7.85546875" style="11" customWidth="1"/>
    <col min="8972" max="8972" width="6.85546875" style="11" customWidth="1"/>
    <col min="8973" max="8974" width="5.140625" style="11" customWidth="1"/>
    <col min="8975" max="8975" width="7.5703125" style="11" customWidth="1"/>
    <col min="8976" max="8976" width="8.140625" style="11" bestFit="1" customWidth="1"/>
    <col min="8977" max="8977" width="8.85546875" style="11" customWidth="1"/>
    <col min="8978" max="8978" width="9.42578125" style="11" customWidth="1"/>
    <col min="8979" max="8979" width="9.140625" style="11" customWidth="1"/>
    <col min="8980" max="8980" width="4.5703125" style="11" customWidth="1"/>
    <col min="8981" max="9210" width="9.140625" style="11"/>
    <col min="9211" max="9211" width="8.140625" style="11" customWidth="1"/>
    <col min="9212" max="9212" width="4.85546875" style="11" customWidth="1"/>
    <col min="9213" max="9213" width="5.140625" style="11" customWidth="1"/>
    <col min="9214" max="9214" width="12.5703125" style="11" customWidth="1"/>
    <col min="9215" max="9215" width="7.5703125" style="11" customWidth="1"/>
    <col min="9216" max="9216" width="6.85546875" style="11" customWidth="1"/>
    <col min="9217" max="9217" width="7" style="11" bestFit="1" customWidth="1"/>
    <col min="9218" max="9218" width="8.85546875" style="11" bestFit="1" customWidth="1"/>
    <col min="9219" max="9219" width="6.85546875" style="11" customWidth="1"/>
    <col min="9220" max="9221" width="7.5703125" style="11" customWidth="1"/>
    <col min="9222" max="9222" width="8.5703125" style="11" bestFit="1" customWidth="1"/>
    <col min="9223" max="9223" width="6.85546875" style="11" customWidth="1"/>
    <col min="9224" max="9224" width="8.140625" style="11" customWidth="1"/>
    <col min="9225" max="9225" width="13.85546875" style="11" bestFit="1" customWidth="1"/>
    <col min="9226" max="9226" width="6.85546875" style="11" customWidth="1"/>
    <col min="9227" max="9227" width="7.85546875" style="11" customWidth="1"/>
    <col min="9228" max="9228" width="6.85546875" style="11" customWidth="1"/>
    <col min="9229" max="9230" width="5.140625" style="11" customWidth="1"/>
    <col min="9231" max="9231" width="7.5703125" style="11" customWidth="1"/>
    <col min="9232" max="9232" width="8.140625" style="11" bestFit="1" customWidth="1"/>
    <col min="9233" max="9233" width="8.85546875" style="11" customWidth="1"/>
    <col min="9234" max="9234" width="9.42578125" style="11" customWidth="1"/>
    <col min="9235" max="9235" width="9.140625" style="11" customWidth="1"/>
    <col min="9236" max="9236" width="4.5703125" style="11" customWidth="1"/>
    <col min="9237" max="9466" width="9.140625" style="11"/>
    <col min="9467" max="9467" width="8.140625" style="11" customWidth="1"/>
    <col min="9468" max="9468" width="4.85546875" style="11" customWidth="1"/>
    <col min="9469" max="9469" width="5.140625" style="11" customWidth="1"/>
    <col min="9470" max="9470" width="12.5703125" style="11" customWidth="1"/>
    <col min="9471" max="9471" width="7.5703125" style="11" customWidth="1"/>
    <col min="9472" max="9472" width="6.85546875" style="11" customWidth="1"/>
    <col min="9473" max="9473" width="7" style="11" bestFit="1" customWidth="1"/>
    <col min="9474" max="9474" width="8.85546875" style="11" bestFit="1" customWidth="1"/>
    <col min="9475" max="9475" width="6.85546875" style="11" customWidth="1"/>
    <col min="9476" max="9477" width="7.5703125" style="11" customWidth="1"/>
    <col min="9478" max="9478" width="8.5703125" style="11" bestFit="1" customWidth="1"/>
    <col min="9479" max="9479" width="6.85546875" style="11" customWidth="1"/>
    <col min="9480" max="9480" width="8.140625" style="11" customWidth="1"/>
    <col min="9481" max="9481" width="13.85546875" style="11" bestFit="1" customWidth="1"/>
    <col min="9482" max="9482" width="6.85546875" style="11" customWidth="1"/>
    <col min="9483" max="9483" width="7.85546875" style="11" customWidth="1"/>
    <col min="9484" max="9484" width="6.85546875" style="11" customWidth="1"/>
    <col min="9485" max="9486" width="5.140625" style="11" customWidth="1"/>
    <col min="9487" max="9487" width="7.5703125" style="11" customWidth="1"/>
    <col min="9488" max="9488" width="8.140625" style="11" bestFit="1" customWidth="1"/>
    <col min="9489" max="9489" width="8.85546875" style="11" customWidth="1"/>
    <col min="9490" max="9490" width="9.42578125" style="11" customWidth="1"/>
    <col min="9491" max="9491" width="9.140625" style="11" customWidth="1"/>
    <col min="9492" max="9492" width="4.5703125" style="11" customWidth="1"/>
    <col min="9493" max="9722" width="9.140625" style="11"/>
    <col min="9723" max="9723" width="8.140625" style="11" customWidth="1"/>
    <col min="9724" max="9724" width="4.85546875" style="11" customWidth="1"/>
    <col min="9725" max="9725" width="5.140625" style="11" customWidth="1"/>
    <col min="9726" max="9726" width="12.5703125" style="11" customWidth="1"/>
    <col min="9727" max="9727" width="7.5703125" style="11" customWidth="1"/>
    <col min="9728" max="9728" width="6.85546875" style="11" customWidth="1"/>
    <col min="9729" max="9729" width="7" style="11" bestFit="1" customWidth="1"/>
    <col min="9730" max="9730" width="8.85546875" style="11" bestFit="1" customWidth="1"/>
    <col min="9731" max="9731" width="6.85546875" style="11" customWidth="1"/>
    <col min="9732" max="9733" width="7.5703125" style="11" customWidth="1"/>
    <col min="9734" max="9734" width="8.5703125" style="11" bestFit="1" customWidth="1"/>
    <col min="9735" max="9735" width="6.85546875" style="11" customWidth="1"/>
    <col min="9736" max="9736" width="8.140625" style="11" customWidth="1"/>
    <col min="9737" max="9737" width="13.85546875" style="11" bestFit="1" customWidth="1"/>
    <col min="9738" max="9738" width="6.85546875" style="11" customWidth="1"/>
    <col min="9739" max="9739" width="7.85546875" style="11" customWidth="1"/>
    <col min="9740" max="9740" width="6.85546875" style="11" customWidth="1"/>
    <col min="9741" max="9742" width="5.140625" style="11" customWidth="1"/>
    <col min="9743" max="9743" width="7.5703125" style="11" customWidth="1"/>
    <col min="9744" max="9744" width="8.140625" style="11" bestFit="1" customWidth="1"/>
    <col min="9745" max="9745" width="8.85546875" style="11" customWidth="1"/>
    <col min="9746" max="9746" width="9.42578125" style="11" customWidth="1"/>
    <col min="9747" max="9747" width="9.140625" style="11" customWidth="1"/>
    <col min="9748" max="9748" width="4.5703125" style="11" customWidth="1"/>
    <col min="9749" max="9978" width="9.140625" style="11"/>
    <col min="9979" max="9979" width="8.140625" style="11" customWidth="1"/>
    <col min="9980" max="9980" width="4.85546875" style="11" customWidth="1"/>
    <col min="9981" max="9981" width="5.140625" style="11" customWidth="1"/>
    <col min="9982" max="9982" width="12.5703125" style="11" customWidth="1"/>
    <col min="9983" max="9983" width="7.5703125" style="11" customWidth="1"/>
    <col min="9984" max="9984" width="6.85546875" style="11" customWidth="1"/>
    <col min="9985" max="9985" width="7" style="11" bestFit="1" customWidth="1"/>
    <col min="9986" max="9986" width="8.85546875" style="11" bestFit="1" customWidth="1"/>
    <col min="9987" max="9987" width="6.85546875" style="11" customWidth="1"/>
    <col min="9988" max="9989" width="7.5703125" style="11" customWidth="1"/>
    <col min="9990" max="9990" width="8.5703125" style="11" bestFit="1" customWidth="1"/>
    <col min="9991" max="9991" width="6.85546875" style="11" customWidth="1"/>
    <col min="9992" max="9992" width="8.140625" style="11" customWidth="1"/>
    <col min="9993" max="9993" width="13.85546875" style="11" bestFit="1" customWidth="1"/>
    <col min="9994" max="9994" width="6.85546875" style="11" customWidth="1"/>
    <col min="9995" max="9995" width="7.85546875" style="11" customWidth="1"/>
    <col min="9996" max="9996" width="6.85546875" style="11" customWidth="1"/>
    <col min="9997" max="9998" width="5.140625" style="11" customWidth="1"/>
    <col min="9999" max="9999" width="7.5703125" style="11" customWidth="1"/>
    <col min="10000" max="10000" width="8.140625" style="11" bestFit="1" customWidth="1"/>
    <col min="10001" max="10001" width="8.85546875" style="11" customWidth="1"/>
    <col min="10002" max="10002" width="9.42578125" style="11" customWidth="1"/>
    <col min="10003" max="10003" width="9.140625" style="11" customWidth="1"/>
    <col min="10004" max="10004" width="4.5703125" style="11" customWidth="1"/>
    <col min="10005" max="10234" width="9.140625" style="11"/>
    <col min="10235" max="10235" width="8.140625" style="11" customWidth="1"/>
    <col min="10236" max="10236" width="4.85546875" style="11" customWidth="1"/>
    <col min="10237" max="10237" width="5.140625" style="11" customWidth="1"/>
    <col min="10238" max="10238" width="12.5703125" style="11" customWidth="1"/>
    <col min="10239" max="10239" width="7.5703125" style="11" customWidth="1"/>
    <col min="10240" max="10240" width="6.85546875" style="11" customWidth="1"/>
    <col min="10241" max="10241" width="7" style="11" bestFit="1" customWidth="1"/>
    <col min="10242" max="10242" width="8.85546875" style="11" bestFit="1" customWidth="1"/>
    <col min="10243" max="10243" width="6.85546875" style="11" customWidth="1"/>
    <col min="10244" max="10245" width="7.5703125" style="11" customWidth="1"/>
    <col min="10246" max="10246" width="8.5703125" style="11" bestFit="1" customWidth="1"/>
    <col min="10247" max="10247" width="6.85546875" style="11" customWidth="1"/>
    <col min="10248" max="10248" width="8.140625" style="11" customWidth="1"/>
    <col min="10249" max="10249" width="13.85546875" style="11" bestFit="1" customWidth="1"/>
    <col min="10250" max="10250" width="6.85546875" style="11" customWidth="1"/>
    <col min="10251" max="10251" width="7.85546875" style="11" customWidth="1"/>
    <col min="10252" max="10252" width="6.85546875" style="11" customWidth="1"/>
    <col min="10253" max="10254" width="5.140625" style="11" customWidth="1"/>
    <col min="10255" max="10255" width="7.5703125" style="11" customWidth="1"/>
    <col min="10256" max="10256" width="8.140625" style="11" bestFit="1" customWidth="1"/>
    <col min="10257" max="10257" width="8.85546875" style="11" customWidth="1"/>
    <col min="10258" max="10258" width="9.42578125" style="11" customWidth="1"/>
    <col min="10259" max="10259" width="9.140625" style="11" customWidth="1"/>
    <col min="10260" max="10260" width="4.5703125" style="11" customWidth="1"/>
    <col min="10261" max="10490" width="9.140625" style="11"/>
    <col min="10491" max="10491" width="8.140625" style="11" customWidth="1"/>
    <col min="10492" max="10492" width="4.85546875" style="11" customWidth="1"/>
    <col min="10493" max="10493" width="5.140625" style="11" customWidth="1"/>
    <col min="10494" max="10494" width="12.5703125" style="11" customWidth="1"/>
    <col min="10495" max="10495" width="7.5703125" style="11" customWidth="1"/>
    <col min="10496" max="10496" width="6.85546875" style="11" customWidth="1"/>
    <col min="10497" max="10497" width="7" style="11" bestFit="1" customWidth="1"/>
    <col min="10498" max="10498" width="8.85546875" style="11" bestFit="1" customWidth="1"/>
    <col min="10499" max="10499" width="6.85546875" style="11" customWidth="1"/>
    <col min="10500" max="10501" width="7.5703125" style="11" customWidth="1"/>
    <col min="10502" max="10502" width="8.5703125" style="11" bestFit="1" customWidth="1"/>
    <col min="10503" max="10503" width="6.85546875" style="11" customWidth="1"/>
    <col min="10504" max="10504" width="8.140625" style="11" customWidth="1"/>
    <col min="10505" max="10505" width="13.85546875" style="11" bestFit="1" customWidth="1"/>
    <col min="10506" max="10506" width="6.85546875" style="11" customWidth="1"/>
    <col min="10507" max="10507" width="7.85546875" style="11" customWidth="1"/>
    <col min="10508" max="10508" width="6.85546875" style="11" customWidth="1"/>
    <col min="10509" max="10510" width="5.140625" style="11" customWidth="1"/>
    <col min="10511" max="10511" width="7.5703125" style="11" customWidth="1"/>
    <col min="10512" max="10512" width="8.140625" style="11" bestFit="1" customWidth="1"/>
    <col min="10513" max="10513" width="8.85546875" style="11" customWidth="1"/>
    <col min="10514" max="10514" width="9.42578125" style="11" customWidth="1"/>
    <col min="10515" max="10515" width="9.140625" style="11" customWidth="1"/>
    <col min="10516" max="10516" width="4.5703125" style="11" customWidth="1"/>
    <col min="10517" max="10746" width="9.140625" style="11"/>
    <col min="10747" max="10747" width="8.140625" style="11" customWidth="1"/>
    <col min="10748" max="10748" width="4.85546875" style="11" customWidth="1"/>
    <col min="10749" max="10749" width="5.140625" style="11" customWidth="1"/>
    <col min="10750" max="10750" width="12.5703125" style="11" customWidth="1"/>
    <col min="10751" max="10751" width="7.5703125" style="11" customWidth="1"/>
    <col min="10752" max="10752" width="6.85546875" style="11" customWidth="1"/>
    <col min="10753" max="10753" width="7" style="11" bestFit="1" customWidth="1"/>
    <col min="10754" max="10754" width="8.85546875" style="11" bestFit="1" customWidth="1"/>
    <col min="10755" max="10755" width="6.85546875" style="11" customWidth="1"/>
    <col min="10756" max="10757" width="7.5703125" style="11" customWidth="1"/>
    <col min="10758" max="10758" width="8.5703125" style="11" bestFit="1" customWidth="1"/>
    <col min="10759" max="10759" width="6.85546875" style="11" customWidth="1"/>
    <col min="10760" max="10760" width="8.140625" style="11" customWidth="1"/>
    <col min="10761" max="10761" width="13.85546875" style="11" bestFit="1" customWidth="1"/>
    <col min="10762" max="10762" width="6.85546875" style="11" customWidth="1"/>
    <col min="10763" max="10763" width="7.85546875" style="11" customWidth="1"/>
    <col min="10764" max="10764" width="6.85546875" style="11" customWidth="1"/>
    <col min="10765" max="10766" width="5.140625" style="11" customWidth="1"/>
    <col min="10767" max="10767" width="7.5703125" style="11" customWidth="1"/>
    <col min="10768" max="10768" width="8.140625" style="11" bestFit="1" customWidth="1"/>
    <col min="10769" max="10769" width="8.85546875" style="11" customWidth="1"/>
    <col min="10770" max="10770" width="9.42578125" style="11" customWidth="1"/>
    <col min="10771" max="10771" width="9.140625" style="11" customWidth="1"/>
    <col min="10772" max="10772" width="4.5703125" style="11" customWidth="1"/>
    <col min="10773" max="11002" width="9.140625" style="11"/>
    <col min="11003" max="11003" width="8.140625" style="11" customWidth="1"/>
    <col min="11004" max="11004" width="4.85546875" style="11" customWidth="1"/>
    <col min="11005" max="11005" width="5.140625" style="11" customWidth="1"/>
    <col min="11006" max="11006" width="12.5703125" style="11" customWidth="1"/>
    <col min="11007" max="11007" width="7.5703125" style="11" customWidth="1"/>
    <col min="11008" max="11008" width="6.85546875" style="11" customWidth="1"/>
    <col min="11009" max="11009" width="7" style="11" bestFit="1" customWidth="1"/>
    <col min="11010" max="11010" width="8.85546875" style="11" bestFit="1" customWidth="1"/>
    <col min="11011" max="11011" width="6.85546875" style="11" customWidth="1"/>
    <col min="11012" max="11013" width="7.5703125" style="11" customWidth="1"/>
    <col min="11014" max="11014" width="8.5703125" style="11" bestFit="1" customWidth="1"/>
    <col min="11015" max="11015" width="6.85546875" style="11" customWidth="1"/>
    <col min="11016" max="11016" width="8.140625" style="11" customWidth="1"/>
    <col min="11017" max="11017" width="13.85546875" style="11" bestFit="1" customWidth="1"/>
    <col min="11018" max="11018" width="6.85546875" style="11" customWidth="1"/>
    <col min="11019" max="11019" width="7.85546875" style="11" customWidth="1"/>
    <col min="11020" max="11020" width="6.85546875" style="11" customWidth="1"/>
    <col min="11021" max="11022" width="5.140625" style="11" customWidth="1"/>
    <col min="11023" max="11023" width="7.5703125" style="11" customWidth="1"/>
    <col min="11024" max="11024" width="8.140625" style="11" bestFit="1" customWidth="1"/>
    <col min="11025" max="11025" width="8.85546875" style="11" customWidth="1"/>
    <col min="11026" max="11026" width="9.42578125" style="11" customWidth="1"/>
    <col min="11027" max="11027" width="9.140625" style="11" customWidth="1"/>
    <col min="11028" max="11028" width="4.5703125" style="11" customWidth="1"/>
    <col min="11029" max="11258" width="9.140625" style="11"/>
    <col min="11259" max="11259" width="8.140625" style="11" customWidth="1"/>
    <col min="11260" max="11260" width="4.85546875" style="11" customWidth="1"/>
    <col min="11261" max="11261" width="5.140625" style="11" customWidth="1"/>
    <col min="11262" max="11262" width="12.5703125" style="11" customWidth="1"/>
    <col min="11263" max="11263" width="7.5703125" style="11" customWidth="1"/>
    <col min="11264" max="11264" width="6.85546875" style="11" customWidth="1"/>
    <col min="11265" max="11265" width="7" style="11" bestFit="1" customWidth="1"/>
    <col min="11266" max="11266" width="8.85546875" style="11" bestFit="1" customWidth="1"/>
    <col min="11267" max="11267" width="6.85546875" style="11" customWidth="1"/>
    <col min="11268" max="11269" width="7.5703125" style="11" customWidth="1"/>
    <col min="11270" max="11270" width="8.5703125" style="11" bestFit="1" customWidth="1"/>
    <col min="11271" max="11271" width="6.85546875" style="11" customWidth="1"/>
    <col min="11272" max="11272" width="8.140625" style="11" customWidth="1"/>
    <col min="11273" max="11273" width="13.85546875" style="11" bestFit="1" customWidth="1"/>
    <col min="11274" max="11274" width="6.85546875" style="11" customWidth="1"/>
    <col min="11275" max="11275" width="7.85546875" style="11" customWidth="1"/>
    <col min="11276" max="11276" width="6.85546875" style="11" customWidth="1"/>
    <col min="11277" max="11278" width="5.140625" style="11" customWidth="1"/>
    <col min="11279" max="11279" width="7.5703125" style="11" customWidth="1"/>
    <col min="11280" max="11280" width="8.140625" style="11" bestFit="1" customWidth="1"/>
    <col min="11281" max="11281" width="8.85546875" style="11" customWidth="1"/>
    <col min="11282" max="11282" width="9.42578125" style="11" customWidth="1"/>
    <col min="11283" max="11283" width="9.140625" style="11" customWidth="1"/>
    <col min="11284" max="11284" width="4.5703125" style="11" customWidth="1"/>
    <col min="11285" max="11514" width="9.140625" style="11"/>
    <col min="11515" max="11515" width="8.140625" style="11" customWidth="1"/>
    <col min="11516" max="11516" width="4.85546875" style="11" customWidth="1"/>
    <col min="11517" max="11517" width="5.140625" style="11" customWidth="1"/>
    <col min="11518" max="11518" width="12.5703125" style="11" customWidth="1"/>
    <col min="11519" max="11519" width="7.5703125" style="11" customWidth="1"/>
    <col min="11520" max="11520" width="6.85546875" style="11" customWidth="1"/>
    <col min="11521" max="11521" width="7" style="11" bestFit="1" customWidth="1"/>
    <col min="11522" max="11522" width="8.85546875" style="11" bestFit="1" customWidth="1"/>
    <col min="11523" max="11523" width="6.85546875" style="11" customWidth="1"/>
    <col min="11524" max="11525" width="7.5703125" style="11" customWidth="1"/>
    <col min="11526" max="11526" width="8.5703125" style="11" bestFit="1" customWidth="1"/>
    <col min="11527" max="11527" width="6.85546875" style="11" customWidth="1"/>
    <col min="11528" max="11528" width="8.140625" style="11" customWidth="1"/>
    <col min="11529" max="11529" width="13.85546875" style="11" bestFit="1" customWidth="1"/>
    <col min="11530" max="11530" width="6.85546875" style="11" customWidth="1"/>
    <col min="11531" max="11531" width="7.85546875" style="11" customWidth="1"/>
    <col min="11532" max="11532" width="6.85546875" style="11" customWidth="1"/>
    <col min="11533" max="11534" width="5.140625" style="11" customWidth="1"/>
    <col min="11535" max="11535" width="7.5703125" style="11" customWidth="1"/>
    <col min="11536" max="11536" width="8.140625" style="11" bestFit="1" customWidth="1"/>
    <col min="11537" max="11537" width="8.85546875" style="11" customWidth="1"/>
    <col min="11538" max="11538" width="9.42578125" style="11" customWidth="1"/>
    <col min="11539" max="11539" width="9.140625" style="11" customWidth="1"/>
    <col min="11540" max="11540" width="4.5703125" style="11" customWidth="1"/>
    <col min="11541" max="11770" width="9.140625" style="11"/>
    <col min="11771" max="11771" width="8.140625" style="11" customWidth="1"/>
    <col min="11772" max="11772" width="4.85546875" style="11" customWidth="1"/>
    <col min="11773" max="11773" width="5.140625" style="11" customWidth="1"/>
    <col min="11774" max="11774" width="12.5703125" style="11" customWidth="1"/>
    <col min="11775" max="11775" width="7.5703125" style="11" customWidth="1"/>
    <col min="11776" max="11776" width="6.85546875" style="11" customWidth="1"/>
    <col min="11777" max="11777" width="7" style="11" bestFit="1" customWidth="1"/>
    <col min="11778" max="11778" width="8.85546875" style="11" bestFit="1" customWidth="1"/>
    <col min="11779" max="11779" width="6.85546875" style="11" customWidth="1"/>
    <col min="11780" max="11781" width="7.5703125" style="11" customWidth="1"/>
    <col min="11782" max="11782" width="8.5703125" style="11" bestFit="1" customWidth="1"/>
    <col min="11783" max="11783" width="6.85546875" style="11" customWidth="1"/>
    <col min="11784" max="11784" width="8.140625" style="11" customWidth="1"/>
    <col min="11785" max="11785" width="13.85546875" style="11" bestFit="1" customWidth="1"/>
    <col min="11786" max="11786" width="6.85546875" style="11" customWidth="1"/>
    <col min="11787" max="11787" width="7.85546875" style="11" customWidth="1"/>
    <col min="11788" max="11788" width="6.85546875" style="11" customWidth="1"/>
    <col min="11789" max="11790" width="5.140625" style="11" customWidth="1"/>
    <col min="11791" max="11791" width="7.5703125" style="11" customWidth="1"/>
    <col min="11792" max="11792" width="8.140625" style="11" bestFit="1" customWidth="1"/>
    <col min="11793" max="11793" width="8.85546875" style="11" customWidth="1"/>
    <col min="11794" max="11794" width="9.42578125" style="11" customWidth="1"/>
    <col min="11795" max="11795" width="9.140625" style="11" customWidth="1"/>
    <col min="11796" max="11796" width="4.5703125" style="11" customWidth="1"/>
    <col min="11797" max="12026" width="9.140625" style="11"/>
    <col min="12027" max="12027" width="8.140625" style="11" customWidth="1"/>
    <col min="12028" max="12028" width="4.85546875" style="11" customWidth="1"/>
    <col min="12029" max="12029" width="5.140625" style="11" customWidth="1"/>
    <col min="12030" max="12030" width="12.5703125" style="11" customWidth="1"/>
    <col min="12031" max="12031" width="7.5703125" style="11" customWidth="1"/>
    <col min="12032" max="12032" width="6.85546875" style="11" customWidth="1"/>
    <col min="12033" max="12033" width="7" style="11" bestFit="1" customWidth="1"/>
    <col min="12034" max="12034" width="8.85546875" style="11" bestFit="1" customWidth="1"/>
    <col min="12035" max="12035" width="6.85546875" style="11" customWidth="1"/>
    <col min="12036" max="12037" width="7.5703125" style="11" customWidth="1"/>
    <col min="12038" max="12038" width="8.5703125" style="11" bestFit="1" customWidth="1"/>
    <col min="12039" max="12039" width="6.85546875" style="11" customWidth="1"/>
    <col min="12040" max="12040" width="8.140625" style="11" customWidth="1"/>
    <col min="12041" max="12041" width="13.85546875" style="11" bestFit="1" customWidth="1"/>
    <col min="12042" max="12042" width="6.85546875" style="11" customWidth="1"/>
    <col min="12043" max="12043" width="7.85546875" style="11" customWidth="1"/>
    <col min="12044" max="12044" width="6.85546875" style="11" customWidth="1"/>
    <col min="12045" max="12046" width="5.140625" style="11" customWidth="1"/>
    <col min="12047" max="12047" width="7.5703125" style="11" customWidth="1"/>
    <col min="12048" max="12048" width="8.140625" style="11" bestFit="1" customWidth="1"/>
    <col min="12049" max="12049" width="8.85546875" style="11" customWidth="1"/>
    <col min="12050" max="12050" width="9.42578125" style="11" customWidth="1"/>
    <col min="12051" max="12051" width="9.140625" style="11" customWidth="1"/>
    <col min="12052" max="12052" width="4.5703125" style="11" customWidth="1"/>
    <col min="12053" max="12282" width="9.140625" style="11"/>
    <col min="12283" max="12283" width="8.140625" style="11" customWidth="1"/>
    <col min="12284" max="12284" width="4.85546875" style="11" customWidth="1"/>
    <col min="12285" max="12285" width="5.140625" style="11" customWidth="1"/>
    <col min="12286" max="12286" width="12.5703125" style="11" customWidth="1"/>
    <col min="12287" max="12287" width="7.5703125" style="11" customWidth="1"/>
    <col min="12288" max="12288" width="6.85546875" style="11" customWidth="1"/>
    <col min="12289" max="12289" width="7" style="11" bestFit="1" customWidth="1"/>
    <col min="12290" max="12290" width="8.85546875" style="11" bestFit="1" customWidth="1"/>
    <col min="12291" max="12291" width="6.85546875" style="11" customWidth="1"/>
    <col min="12292" max="12293" width="7.5703125" style="11" customWidth="1"/>
    <col min="12294" max="12294" width="8.5703125" style="11" bestFit="1" customWidth="1"/>
    <col min="12295" max="12295" width="6.85546875" style="11" customWidth="1"/>
    <col min="12296" max="12296" width="8.140625" style="11" customWidth="1"/>
    <col min="12297" max="12297" width="13.85546875" style="11" bestFit="1" customWidth="1"/>
    <col min="12298" max="12298" width="6.85546875" style="11" customWidth="1"/>
    <col min="12299" max="12299" width="7.85546875" style="11" customWidth="1"/>
    <col min="12300" max="12300" width="6.85546875" style="11" customWidth="1"/>
    <col min="12301" max="12302" width="5.140625" style="11" customWidth="1"/>
    <col min="12303" max="12303" width="7.5703125" style="11" customWidth="1"/>
    <col min="12304" max="12304" width="8.140625" style="11" bestFit="1" customWidth="1"/>
    <col min="12305" max="12305" width="8.85546875" style="11" customWidth="1"/>
    <col min="12306" max="12306" width="9.42578125" style="11" customWidth="1"/>
    <col min="12307" max="12307" width="9.140625" style="11" customWidth="1"/>
    <col min="12308" max="12308" width="4.5703125" style="11" customWidth="1"/>
    <col min="12309" max="12538" width="9.140625" style="11"/>
    <col min="12539" max="12539" width="8.140625" style="11" customWidth="1"/>
    <col min="12540" max="12540" width="4.85546875" style="11" customWidth="1"/>
    <col min="12541" max="12541" width="5.140625" style="11" customWidth="1"/>
    <col min="12542" max="12542" width="12.5703125" style="11" customWidth="1"/>
    <col min="12543" max="12543" width="7.5703125" style="11" customWidth="1"/>
    <col min="12544" max="12544" width="6.85546875" style="11" customWidth="1"/>
    <col min="12545" max="12545" width="7" style="11" bestFit="1" customWidth="1"/>
    <col min="12546" max="12546" width="8.85546875" style="11" bestFit="1" customWidth="1"/>
    <col min="12547" max="12547" width="6.85546875" style="11" customWidth="1"/>
    <col min="12548" max="12549" width="7.5703125" style="11" customWidth="1"/>
    <col min="12550" max="12550" width="8.5703125" style="11" bestFit="1" customWidth="1"/>
    <col min="12551" max="12551" width="6.85546875" style="11" customWidth="1"/>
    <col min="12552" max="12552" width="8.140625" style="11" customWidth="1"/>
    <col min="12553" max="12553" width="13.85546875" style="11" bestFit="1" customWidth="1"/>
    <col min="12554" max="12554" width="6.85546875" style="11" customWidth="1"/>
    <col min="12555" max="12555" width="7.85546875" style="11" customWidth="1"/>
    <col min="12556" max="12556" width="6.85546875" style="11" customWidth="1"/>
    <col min="12557" max="12558" width="5.140625" style="11" customWidth="1"/>
    <col min="12559" max="12559" width="7.5703125" style="11" customWidth="1"/>
    <col min="12560" max="12560" width="8.140625" style="11" bestFit="1" customWidth="1"/>
    <col min="12561" max="12561" width="8.85546875" style="11" customWidth="1"/>
    <col min="12562" max="12562" width="9.42578125" style="11" customWidth="1"/>
    <col min="12563" max="12563" width="9.140625" style="11" customWidth="1"/>
    <col min="12564" max="12564" width="4.5703125" style="11" customWidth="1"/>
    <col min="12565" max="12794" width="9.140625" style="11"/>
    <col min="12795" max="12795" width="8.140625" style="11" customWidth="1"/>
    <col min="12796" max="12796" width="4.85546875" style="11" customWidth="1"/>
    <col min="12797" max="12797" width="5.140625" style="11" customWidth="1"/>
    <col min="12798" max="12798" width="12.5703125" style="11" customWidth="1"/>
    <col min="12799" max="12799" width="7.5703125" style="11" customWidth="1"/>
    <col min="12800" max="12800" width="6.85546875" style="11" customWidth="1"/>
    <col min="12801" max="12801" width="7" style="11" bestFit="1" customWidth="1"/>
    <col min="12802" max="12802" width="8.85546875" style="11" bestFit="1" customWidth="1"/>
    <col min="12803" max="12803" width="6.85546875" style="11" customWidth="1"/>
    <col min="12804" max="12805" width="7.5703125" style="11" customWidth="1"/>
    <col min="12806" max="12806" width="8.5703125" style="11" bestFit="1" customWidth="1"/>
    <col min="12807" max="12807" width="6.85546875" style="11" customWidth="1"/>
    <col min="12808" max="12808" width="8.140625" style="11" customWidth="1"/>
    <col min="12809" max="12809" width="13.85546875" style="11" bestFit="1" customWidth="1"/>
    <col min="12810" max="12810" width="6.85546875" style="11" customWidth="1"/>
    <col min="12811" max="12811" width="7.85546875" style="11" customWidth="1"/>
    <col min="12812" max="12812" width="6.85546875" style="11" customWidth="1"/>
    <col min="12813" max="12814" width="5.140625" style="11" customWidth="1"/>
    <col min="12815" max="12815" width="7.5703125" style="11" customWidth="1"/>
    <col min="12816" max="12816" width="8.140625" style="11" bestFit="1" customWidth="1"/>
    <col min="12817" max="12817" width="8.85546875" style="11" customWidth="1"/>
    <col min="12818" max="12818" width="9.42578125" style="11" customWidth="1"/>
    <col min="12819" max="12819" width="9.140625" style="11" customWidth="1"/>
    <col min="12820" max="12820" width="4.5703125" style="11" customWidth="1"/>
    <col min="12821" max="13050" width="9.140625" style="11"/>
    <col min="13051" max="13051" width="8.140625" style="11" customWidth="1"/>
    <col min="13052" max="13052" width="4.85546875" style="11" customWidth="1"/>
    <col min="13053" max="13053" width="5.140625" style="11" customWidth="1"/>
    <col min="13054" max="13054" width="12.5703125" style="11" customWidth="1"/>
    <col min="13055" max="13055" width="7.5703125" style="11" customWidth="1"/>
    <col min="13056" max="13056" width="6.85546875" style="11" customWidth="1"/>
    <col min="13057" max="13057" width="7" style="11" bestFit="1" customWidth="1"/>
    <col min="13058" max="13058" width="8.85546875" style="11" bestFit="1" customWidth="1"/>
    <col min="13059" max="13059" width="6.85546875" style="11" customWidth="1"/>
    <col min="13060" max="13061" width="7.5703125" style="11" customWidth="1"/>
    <col min="13062" max="13062" width="8.5703125" style="11" bestFit="1" customWidth="1"/>
    <col min="13063" max="13063" width="6.85546875" style="11" customWidth="1"/>
    <col min="13064" max="13064" width="8.140625" style="11" customWidth="1"/>
    <col min="13065" max="13065" width="13.85546875" style="11" bestFit="1" customWidth="1"/>
    <col min="13066" max="13066" width="6.85546875" style="11" customWidth="1"/>
    <col min="13067" max="13067" width="7.85546875" style="11" customWidth="1"/>
    <col min="13068" max="13068" width="6.85546875" style="11" customWidth="1"/>
    <col min="13069" max="13070" width="5.140625" style="11" customWidth="1"/>
    <col min="13071" max="13071" width="7.5703125" style="11" customWidth="1"/>
    <col min="13072" max="13072" width="8.140625" style="11" bestFit="1" customWidth="1"/>
    <col min="13073" max="13073" width="8.85546875" style="11" customWidth="1"/>
    <col min="13074" max="13074" width="9.42578125" style="11" customWidth="1"/>
    <col min="13075" max="13075" width="9.140625" style="11" customWidth="1"/>
    <col min="13076" max="13076" width="4.5703125" style="11" customWidth="1"/>
    <col min="13077" max="13306" width="9.140625" style="11"/>
    <col min="13307" max="13307" width="8.140625" style="11" customWidth="1"/>
    <col min="13308" max="13308" width="4.85546875" style="11" customWidth="1"/>
    <col min="13309" max="13309" width="5.140625" style="11" customWidth="1"/>
    <col min="13310" max="13310" width="12.5703125" style="11" customWidth="1"/>
    <col min="13311" max="13311" width="7.5703125" style="11" customWidth="1"/>
    <col min="13312" max="13312" width="6.85546875" style="11" customWidth="1"/>
    <col min="13313" max="13313" width="7" style="11" bestFit="1" customWidth="1"/>
    <col min="13314" max="13314" width="8.85546875" style="11" bestFit="1" customWidth="1"/>
    <col min="13315" max="13315" width="6.85546875" style="11" customWidth="1"/>
    <col min="13316" max="13317" width="7.5703125" style="11" customWidth="1"/>
    <col min="13318" max="13318" width="8.5703125" style="11" bestFit="1" customWidth="1"/>
    <col min="13319" max="13319" width="6.85546875" style="11" customWidth="1"/>
    <col min="13320" max="13320" width="8.140625" style="11" customWidth="1"/>
    <col min="13321" max="13321" width="13.85546875" style="11" bestFit="1" customWidth="1"/>
    <col min="13322" max="13322" width="6.85546875" style="11" customWidth="1"/>
    <col min="13323" max="13323" width="7.85546875" style="11" customWidth="1"/>
    <col min="13324" max="13324" width="6.85546875" style="11" customWidth="1"/>
    <col min="13325" max="13326" width="5.140625" style="11" customWidth="1"/>
    <col min="13327" max="13327" width="7.5703125" style="11" customWidth="1"/>
    <col min="13328" max="13328" width="8.140625" style="11" bestFit="1" customWidth="1"/>
    <col min="13329" max="13329" width="8.85546875" style="11" customWidth="1"/>
    <col min="13330" max="13330" width="9.42578125" style="11" customWidth="1"/>
    <col min="13331" max="13331" width="9.140625" style="11" customWidth="1"/>
    <col min="13332" max="13332" width="4.5703125" style="11" customWidth="1"/>
    <col min="13333" max="13562" width="9.140625" style="11"/>
    <col min="13563" max="13563" width="8.140625" style="11" customWidth="1"/>
    <col min="13564" max="13564" width="4.85546875" style="11" customWidth="1"/>
    <col min="13565" max="13565" width="5.140625" style="11" customWidth="1"/>
    <col min="13566" max="13566" width="12.5703125" style="11" customWidth="1"/>
    <col min="13567" max="13567" width="7.5703125" style="11" customWidth="1"/>
    <col min="13568" max="13568" width="6.85546875" style="11" customWidth="1"/>
    <col min="13569" max="13569" width="7" style="11" bestFit="1" customWidth="1"/>
    <col min="13570" max="13570" width="8.85546875" style="11" bestFit="1" customWidth="1"/>
    <col min="13571" max="13571" width="6.85546875" style="11" customWidth="1"/>
    <col min="13572" max="13573" width="7.5703125" style="11" customWidth="1"/>
    <col min="13574" max="13574" width="8.5703125" style="11" bestFit="1" customWidth="1"/>
    <col min="13575" max="13575" width="6.85546875" style="11" customWidth="1"/>
    <col min="13576" max="13576" width="8.140625" style="11" customWidth="1"/>
    <col min="13577" max="13577" width="13.85546875" style="11" bestFit="1" customWidth="1"/>
    <col min="13578" max="13578" width="6.85546875" style="11" customWidth="1"/>
    <col min="13579" max="13579" width="7.85546875" style="11" customWidth="1"/>
    <col min="13580" max="13580" width="6.85546875" style="11" customWidth="1"/>
    <col min="13581" max="13582" width="5.140625" style="11" customWidth="1"/>
    <col min="13583" max="13583" width="7.5703125" style="11" customWidth="1"/>
    <col min="13584" max="13584" width="8.140625" style="11" bestFit="1" customWidth="1"/>
    <col min="13585" max="13585" width="8.85546875" style="11" customWidth="1"/>
    <col min="13586" max="13586" width="9.42578125" style="11" customWidth="1"/>
    <col min="13587" max="13587" width="9.140625" style="11" customWidth="1"/>
    <col min="13588" max="13588" width="4.5703125" style="11" customWidth="1"/>
    <col min="13589" max="13818" width="9.140625" style="11"/>
    <col min="13819" max="13819" width="8.140625" style="11" customWidth="1"/>
    <col min="13820" max="13820" width="4.85546875" style="11" customWidth="1"/>
    <col min="13821" max="13821" width="5.140625" style="11" customWidth="1"/>
    <col min="13822" max="13822" width="12.5703125" style="11" customWidth="1"/>
    <col min="13823" max="13823" width="7.5703125" style="11" customWidth="1"/>
    <col min="13824" max="13824" width="6.85546875" style="11" customWidth="1"/>
    <col min="13825" max="13825" width="7" style="11" bestFit="1" customWidth="1"/>
    <col min="13826" max="13826" width="8.85546875" style="11" bestFit="1" customWidth="1"/>
    <col min="13827" max="13827" width="6.85546875" style="11" customWidth="1"/>
    <col min="13828" max="13829" width="7.5703125" style="11" customWidth="1"/>
    <col min="13830" max="13830" width="8.5703125" style="11" bestFit="1" customWidth="1"/>
    <col min="13831" max="13831" width="6.85546875" style="11" customWidth="1"/>
    <col min="13832" max="13832" width="8.140625" style="11" customWidth="1"/>
    <col min="13833" max="13833" width="13.85546875" style="11" bestFit="1" customWidth="1"/>
    <col min="13834" max="13834" width="6.85546875" style="11" customWidth="1"/>
    <col min="13835" max="13835" width="7.85546875" style="11" customWidth="1"/>
    <col min="13836" max="13836" width="6.85546875" style="11" customWidth="1"/>
    <col min="13837" max="13838" width="5.140625" style="11" customWidth="1"/>
    <col min="13839" max="13839" width="7.5703125" style="11" customWidth="1"/>
    <col min="13840" max="13840" width="8.140625" style="11" bestFit="1" customWidth="1"/>
    <col min="13841" max="13841" width="8.85546875" style="11" customWidth="1"/>
    <col min="13842" max="13842" width="9.42578125" style="11" customWidth="1"/>
    <col min="13843" max="13843" width="9.140625" style="11" customWidth="1"/>
    <col min="13844" max="13844" width="4.5703125" style="11" customWidth="1"/>
    <col min="13845" max="14074" width="9.140625" style="11"/>
    <col min="14075" max="14075" width="8.140625" style="11" customWidth="1"/>
    <col min="14076" max="14076" width="4.85546875" style="11" customWidth="1"/>
    <col min="14077" max="14077" width="5.140625" style="11" customWidth="1"/>
    <col min="14078" max="14078" width="12.5703125" style="11" customWidth="1"/>
    <col min="14079" max="14079" width="7.5703125" style="11" customWidth="1"/>
    <col min="14080" max="14080" width="6.85546875" style="11" customWidth="1"/>
    <col min="14081" max="14081" width="7" style="11" bestFit="1" customWidth="1"/>
    <col min="14082" max="14082" width="8.85546875" style="11" bestFit="1" customWidth="1"/>
    <col min="14083" max="14083" width="6.85546875" style="11" customWidth="1"/>
    <col min="14084" max="14085" width="7.5703125" style="11" customWidth="1"/>
    <col min="14086" max="14086" width="8.5703125" style="11" bestFit="1" customWidth="1"/>
    <col min="14087" max="14087" width="6.85546875" style="11" customWidth="1"/>
    <col min="14088" max="14088" width="8.140625" style="11" customWidth="1"/>
    <col min="14089" max="14089" width="13.85546875" style="11" bestFit="1" customWidth="1"/>
    <col min="14090" max="14090" width="6.85546875" style="11" customWidth="1"/>
    <col min="14091" max="14091" width="7.85546875" style="11" customWidth="1"/>
    <col min="14092" max="14092" width="6.85546875" style="11" customWidth="1"/>
    <col min="14093" max="14094" width="5.140625" style="11" customWidth="1"/>
    <col min="14095" max="14095" width="7.5703125" style="11" customWidth="1"/>
    <col min="14096" max="14096" width="8.140625" style="11" bestFit="1" customWidth="1"/>
    <col min="14097" max="14097" width="8.85546875" style="11" customWidth="1"/>
    <col min="14098" max="14098" width="9.42578125" style="11" customWidth="1"/>
    <col min="14099" max="14099" width="9.140625" style="11" customWidth="1"/>
    <col min="14100" max="14100" width="4.5703125" style="11" customWidth="1"/>
    <col min="14101" max="14330" width="9.140625" style="11"/>
    <col min="14331" max="14331" width="8.140625" style="11" customWidth="1"/>
    <col min="14332" max="14332" width="4.85546875" style="11" customWidth="1"/>
    <col min="14333" max="14333" width="5.140625" style="11" customWidth="1"/>
    <col min="14334" max="14334" width="12.5703125" style="11" customWidth="1"/>
    <col min="14335" max="14335" width="7.5703125" style="11" customWidth="1"/>
    <col min="14336" max="14336" width="6.85546875" style="11" customWidth="1"/>
    <col min="14337" max="14337" width="7" style="11" bestFit="1" customWidth="1"/>
    <col min="14338" max="14338" width="8.85546875" style="11" bestFit="1" customWidth="1"/>
    <col min="14339" max="14339" width="6.85546875" style="11" customWidth="1"/>
    <col min="14340" max="14341" width="7.5703125" style="11" customWidth="1"/>
    <col min="14342" max="14342" width="8.5703125" style="11" bestFit="1" customWidth="1"/>
    <col min="14343" max="14343" width="6.85546875" style="11" customWidth="1"/>
    <col min="14344" max="14344" width="8.140625" style="11" customWidth="1"/>
    <col min="14345" max="14345" width="13.85546875" style="11" bestFit="1" customWidth="1"/>
    <col min="14346" max="14346" width="6.85546875" style="11" customWidth="1"/>
    <col min="14347" max="14347" width="7.85546875" style="11" customWidth="1"/>
    <col min="14348" max="14348" width="6.85546875" style="11" customWidth="1"/>
    <col min="14349" max="14350" width="5.140625" style="11" customWidth="1"/>
    <col min="14351" max="14351" width="7.5703125" style="11" customWidth="1"/>
    <col min="14352" max="14352" width="8.140625" style="11" bestFit="1" customWidth="1"/>
    <col min="14353" max="14353" width="8.85546875" style="11" customWidth="1"/>
    <col min="14354" max="14354" width="9.42578125" style="11" customWidth="1"/>
    <col min="14355" max="14355" width="9.140625" style="11" customWidth="1"/>
    <col min="14356" max="14356" width="4.5703125" style="11" customWidth="1"/>
    <col min="14357" max="14586" width="9.140625" style="11"/>
    <col min="14587" max="14587" width="8.140625" style="11" customWidth="1"/>
    <col min="14588" max="14588" width="4.85546875" style="11" customWidth="1"/>
    <col min="14589" max="14589" width="5.140625" style="11" customWidth="1"/>
    <col min="14590" max="14590" width="12.5703125" style="11" customWidth="1"/>
    <col min="14591" max="14591" width="7.5703125" style="11" customWidth="1"/>
    <col min="14592" max="14592" width="6.85546875" style="11" customWidth="1"/>
    <col min="14593" max="14593" width="7" style="11" bestFit="1" customWidth="1"/>
    <col min="14594" max="14594" width="8.85546875" style="11" bestFit="1" customWidth="1"/>
    <col min="14595" max="14595" width="6.85546875" style="11" customWidth="1"/>
    <col min="14596" max="14597" width="7.5703125" style="11" customWidth="1"/>
    <col min="14598" max="14598" width="8.5703125" style="11" bestFit="1" customWidth="1"/>
    <col min="14599" max="14599" width="6.85546875" style="11" customWidth="1"/>
    <col min="14600" max="14600" width="8.140625" style="11" customWidth="1"/>
    <col min="14601" max="14601" width="13.85546875" style="11" bestFit="1" customWidth="1"/>
    <col min="14602" max="14602" width="6.85546875" style="11" customWidth="1"/>
    <col min="14603" max="14603" width="7.85546875" style="11" customWidth="1"/>
    <col min="14604" max="14604" width="6.85546875" style="11" customWidth="1"/>
    <col min="14605" max="14606" width="5.140625" style="11" customWidth="1"/>
    <col min="14607" max="14607" width="7.5703125" style="11" customWidth="1"/>
    <col min="14608" max="14608" width="8.140625" style="11" bestFit="1" customWidth="1"/>
    <col min="14609" max="14609" width="8.85546875" style="11" customWidth="1"/>
    <col min="14610" max="14610" width="9.42578125" style="11" customWidth="1"/>
    <col min="14611" max="14611" width="9.140625" style="11" customWidth="1"/>
    <col min="14612" max="14612" width="4.5703125" style="11" customWidth="1"/>
    <col min="14613" max="14842" width="9.140625" style="11"/>
    <col min="14843" max="14843" width="8.140625" style="11" customWidth="1"/>
    <col min="14844" max="14844" width="4.85546875" style="11" customWidth="1"/>
    <col min="14845" max="14845" width="5.140625" style="11" customWidth="1"/>
    <col min="14846" max="14846" width="12.5703125" style="11" customWidth="1"/>
    <col min="14847" max="14847" width="7.5703125" style="11" customWidth="1"/>
    <col min="14848" max="14848" width="6.85546875" style="11" customWidth="1"/>
    <col min="14849" max="14849" width="7" style="11" bestFit="1" customWidth="1"/>
    <col min="14850" max="14850" width="8.85546875" style="11" bestFit="1" customWidth="1"/>
    <col min="14851" max="14851" width="6.85546875" style="11" customWidth="1"/>
    <col min="14852" max="14853" width="7.5703125" style="11" customWidth="1"/>
    <col min="14854" max="14854" width="8.5703125" style="11" bestFit="1" customWidth="1"/>
    <col min="14855" max="14855" width="6.85546875" style="11" customWidth="1"/>
    <col min="14856" max="14856" width="8.140625" style="11" customWidth="1"/>
    <col min="14857" max="14857" width="13.85546875" style="11" bestFit="1" customWidth="1"/>
    <col min="14858" max="14858" width="6.85546875" style="11" customWidth="1"/>
    <col min="14859" max="14859" width="7.85546875" style="11" customWidth="1"/>
    <col min="14860" max="14860" width="6.85546875" style="11" customWidth="1"/>
    <col min="14861" max="14862" width="5.140625" style="11" customWidth="1"/>
    <col min="14863" max="14863" width="7.5703125" style="11" customWidth="1"/>
    <col min="14864" max="14864" width="8.140625" style="11" bestFit="1" customWidth="1"/>
    <col min="14865" max="14865" width="8.85546875" style="11" customWidth="1"/>
    <col min="14866" max="14866" width="9.42578125" style="11" customWidth="1"/>
    <col min="14867" max="14867" width="9.140625" style="11" customWidth="1"/>
    <col min="14868" max="14868" width="4.5703125" style="11" customWidth="1"/>
    <col min="14869" max="15098" width="9.140625" style="11"/>
    <col min="15099" max="15099" width="8.140625" style="11" customWidth="1"/>
    <col min="15100" max="15100" width="4.85546875" style="11" customWidth="1"/>
    <col min="15101" max="15101" width="5.140625" style="11" customWidth="1"/>
    <col min="15102" max="15102" width="12.5703125" style="11" customWidth="1"/>
    <col min="15103" max="15103" width="7.5703125" style="11" customWidth="1"/>
    <col min="15104" max="15104" width="6.85546875" style="11" customWidth="1"/>
    <col min="15105" max="15105" width="7" style="11" bestFit="1" customWidth="1"/>
    <col min="15106" max="15106" width="8.85546875" style="11" bestFit="1" customWidth="1"/>
    <col min="15107" max="15107" width="6.85546875" style="11" customWidth="1"/>
    <col min="15108" max="15109" width="7.5703125" style="11" customWidth="1"/>
    <col min="15110" max="15110" width="8.5703125" style="11" bestFit="1" customWidth="1"/>
    <col min="15111" max="15111" width="6.85546875" style="11" customWidth="1"/>
    <col min="15112" max="15112" width="8.140625" style="11" customWidth="1"/>
    <col min="15113" max="15113" width="13.85546875" style="11" bestFit="1" customWidth="1"/>
    <col min="15114" max="15114" width="6.85546875" style="11" customWidth="1"/>
    <col min="15115" max="15115" width="7.85546875" style="11" customWidth="1"/>
    <col min="15116" max="15116" width="6.85546875" style="11" customWidth="1"/>
    <col min="15117" max="15118" width="5.140625" style="11" customWidth="1"/>
    <col min="15119" max="15119" width="7.5703125" style="11" customWidth="1"/>
    <col min="15120" max="15120" width="8.140625" style="11" bestFit="1" customWidth="1"/>
    <col min="15121" max="15121" width="8.85546875" style="11" customWidth="1"/>
    <col min="15122" max="15122" width="9.42578125" style="11" customWidth="1"/>
    <col min="15123" max="15123" width="9.140625" style="11" customWidth="1"/>
    <col min="15124" max="15124" width="4.5703125" style="11" customWidth="1"/>
    <col min="15125" max="15354" width="9.140625" style="11"/>
    <col min="15355" max="15355" width="8.140625" style="11" customWidth="1"/>
    <col min="15356" max="15356" width="4.85546875" style="11" customWidth="1"/>
    <col min="15357" max="15357" width="5.140625" style="11" customWidth="1"/>
    <col min="15358" max="15358" width="12.5703125" style="11" customWidth="1"/>
    <col min="15359" max="15359" width="7.5703125" style="11" customWidth="1"/>
    <col min="15360" max="15360" width="6.85546875" style="11" customWidth="1"/>
    <col min="15361" max="15361" width="7" style="11" bestFit="1" customWidth="1"/>
    <col min="15362" max="15362" width="8.85546875" style="11" bestFit="1" customWidth="1"/>
    <col min="15363" max="15363" width="6.85546875" style="11" customWidth="1"/>
    <col min="15364" max="15365" width="7.5703125" style="11" customWidth="1"/>
    <col min="15366" max="15366" width="8.5703125" style="11" bestFit="1" customWidth="1"/>
    <col min="15367" max="15367" width="6.85546875" style="11" customWidth="1"/>
    <col min="15368" max="15368" width="8.140625" style="11" customWidth="1"/>
    <col min="15369" max="15369" width="13.85546875" style="11" bestFit="1" customWidth="1"/>
    <col min="15370" max="15370" width="6.85546875" style="11" customWidth="1"/>
    <col min="15371" max="15371" width="7.85546875" style="11" customWidth="1"/>
    <col min="15372" max="15372" width="6.85546875" style="11" customWidth="1"/>
    <col min="15373" max="15374" width="5.140625" style="11" customWidth="1"/>
    <col min="15375" max="15375" width="7.5703125" style="11" customWidth="1"/>
    <col min="15376" max="15376" width="8.140625" style="11" bestFit="1" customWidth="1"/>
    <col min="15377" max="15377" width="8.85546875" style="11" customWidth="1"/>
    <col min="15378" max="15378" width="9.42578125" style="11" customWidth="1"/>
    <col min="15379" max="15379" width="9.140625" style="11" customWidth="1"/>
    <col min="15380" max="15380" width="4.5703125" style="11" customWidth="1"/>
    <col min="15381" max="15610" width="9.140625" style="11"/>
    <col min="15611" max="15611" width="8.140625" style="11" customWidth="1"/>
    <col min="15612" max="15612" width="4.85546875" style="11" customWidth="1"/>
    <col min="15613" max="15613" width="5.140625" style="11" customWidth="1"/>
    <col min="15614" max="15614" width="12.5703125" style="11" customWidth="1"/>
    <col min="15615" max="15615" width="7.5703125" style="11" customWidth="1"/>
    <col min="15616" max="15616" width="6.85546875" style="11" customWidth="1"/>
    <col min="15617" max="15617" width="7" style="11" bestFit="1" customWidth="1"/>
    <col min="15618" max="15618" width="8.85546875" style="11" bestFit="1" customWidth="1"/>
    <col min="15619" max="15619" width="6.85546875" style="11" customWidth="1"/>
    <col min="15620" max="15621" width="7.5703125" style="11" customWidth="1"/>
    <col min="15622" max="15622" width="8.5703125" style="11" bestFit="1" customWidth="1"/>
    <col min="15623" max="15623" width="6.85546875" style="11" customWidth="1"/>
    <col min="15624" max="15624" width="8.140625" style="11" customWidth="1"/>
    <col min="15625" max="15625" width="13.85546875" style="11" bestFit="1" customWidth="1"/>
    <col min="15626" max="15626" width="6.85546875" style="11" customWidth="1"/>
    <col min="15627" max="15627" width="7.85546875" style="11" customWidth="1"/>
    <col min="15628" max="15628" width="6.85546875" style="11" customWidth="1"/>
    <col min="15629" max="15630" width="5.140625" style="11" customWidth="1"/>
    <col min="15631" max="15631" width="7.5703125" style="11" customWidth="1"/>
    <col min="15632" max="15632" width="8.140625" style="11" bestFit="1" customWidth="1"/>
    <col min="15633" max="15633" width="8.85546875" style="11" customWidth="1"/>
    <col min="15634" max="15634" width="9.42578125" style="11" customWidth="1"/>
    <col min="15635" max="15635" width="9.140625" style="11" customWidth="1"/>
    <col min="15636" max="15636" width="4.5703125" style="11" customWidth="1"/>
    <col min="15637" max="15866" width="9.140625" style="11"/>
    <col min="15867" max="15867" width="8.140625" style="11" customWidth="1"/>
    <col min="15868" max="15868" width="4.85546875" style="11" customWidth="1"/>
    <col min="15869" max="15869" width="5.140625" style="11" customWidth="1"/>
    <col min="15870" max="15870" width="12.5703125" style="11" customWidth="1"/>
    <col min="15871" max="15871" width="7.5703125" style="11" customWidth="1"/>
    <col min="15872" max="15872" width="6.85546875" style="11" customWidth="1"/>
    <col min="15873" max="15873" width="7" style="11" bestFit="1" customWidth="1"/>
    <col min="15874" max="15874" width="8.85546875" style="11" bestFit="1" customWidth="1"/>
    <col min="15875" max="15875" width="6.85546875" style="11" customWidth="1"/>
    <col min="15876" max="15877" width="7.5703125" style="11" customWidth="1"/>
    <col min="15878" max="15878" width="8.5703125" style="11" bestFit="1" customWidth="1"/>
    <col min="15879" max="15879" width="6.85546875" style="11" customWidth="1"/>
    <col min="15880" max="15880" width="8.140625" style="11" customWidth="1"/>
    <col min="15881" max="15881" width="13.85546875" style="11" bestFit="1" customWidth="1"/>
    <col min="15882" max="15882" width="6.85546875" style="11" customWidth="1"/>
    <col min="15883" max="15883" width="7.85546875" style="11" customWidth="1"/>
    <col min="15884" max="15884" width="6.85546875" style="11" customWidth="1"/>
    <col min="15885" max="15886" width="5.140625" style="11" customWidth="1"/>
    <col min="15887" max="15887" width="7.5703125" style="11" customWidth="1"/>
    <col min="15888" max="15888" width="8.140625" style="11" bestFit="1" customWidth="1"/>
    <col min="15889" max="15889" width="8.85546875" style="11" customWidth="1"/>
    <col min="15890" max="15890" width="9.42578125" style="11" customWidth="1"/>
    <col min="15891" max="15891" width="9.140625" style="11" customWidth="1"/>
    <col min="15892" max="15892" width="4.5703125" style="11" customWidth="1"/>
    <col min="15893" max="16122" width="9.140625" style="11"/>
    <col min="16123" max="16123" width="8.140625" style="11" customWidth="1"/>
    <col min="16124" max="16124" width="4.85546875" style="11" customWidth="1"/>
    <col min="16125" max="16125" width="5.140625" style="11" customWidth="1"/>
    <col min="16126" max="16126" width="12.5703125" style="11" customWidth="1"/>
    <col min="16127" max="16127" width="7.5703125" style="11" customWidth="1"/>
    <col min="16128" max="16128" width="6.85546875" style="11" customWidth="1"/>
    <col min="16129" max="16129" width="7" style="11" bestFit="1" customWidth="1"/>
    <col min="16130" max="16130" width="8.85546875" style="11" bestFit="1" customWidth="1"/>
    <col min="16131" max="16131" width="6.85546875" style="11" customWidth="1"/>
    <col min="16132" max="16133" width="7.5703125" style="11" customWidth="1"/>
    <col min="16134" max="16134" width="8.5703125" style="11" bestFit="1" customWidth="1"/>
    <col min="16135" max="16135" width="6.85546875" style="11" customWidth="1"/>
    <col min="16136" max="16136" width="8.140625" style="11" customWidth="1"/>
    <col min="16137" max="16137" width="13.85546875" style="11" bestFit="1" customWidth="1"/>
    <col min="16138" max="16138" width="6.85546875" style="11" customWidth="1"/>
    <col min="16139" max="16139" width="7.85546875" style="11" customWidth="1"/>
    <col min="16140" max="16140" width="6.85546875" style="11" customWidth="1"/>
    <col min="16141" max="16142" width="5.140625" style="11" customWidth="1"/>
    <col min="16143" max="16143" width="7.5703125" style="11" customWidth="1"/>
    <col min="16144" max="16144" width="8.140625" style="11" bestFit="1" customWidth="1"/>
    <col min="16145" max="16145" width="8.85546875" style="11" customWidth="1"/>
    <col min="16146" max="16146" width="9.42578125" style="11" customWidth="1"/>
    <col min="16147" max="16147" width="9.140625" style="11" customWidth="1"/>
    <col min="16148" max="16148" width="4.5703125" style="11" customWidth="1"/>
    <col min="16149" max="16384" width="9.140625" style="11"/>
  </cols>
  <sheetData>
    <row r="1" spans="1:20" s="1" customFormat="1" ht="38.25" x14ac:dyDescent="0.2">
      <c r="A1" s="12" t="s">
        <v>80</v>
      </c>
      <c r="B1" s="12" t="s">
        <v>90</v>
      </c>
      <c r="C1" s="12" t="s">
        <v>81</v>
      </c>
      <c r="D1" s="12" t="s">
        <v>82</v>
      </c>
      <c r="E1" s="12" t="s">
        <v>0</v>
      </c>
      <c r="F1" s="12" t="s">
        <v>1</v>
      </c>
      <c r="G1" s="12" t="s">
        <v>141</v>
      </c>
      <c r="H1" s="12" t="s">
        <v>83</v>
      </c>
      <c r="I1" s="13" t="s">
        <v>2</v>
      </c>
      <c r="J1" s="12" t="s">
        <v>84</v>
      </c>
      <c r="K1" s="14" t="s">
        <v>85</v>
      </c>
      <c r="L1" s="14" t="s">
        <v>86</v>
      </c>
      <c r="M1" s="13" t="s">
        <v>3</v>
      </c>
      <c r="N1" s="13" t="s">
        <v>87</v>
      </c>
      <c r="O1" s="13" t="s">
        <v>88</v>
      </c>
      <c r="P1" s="12" t="s">
        <v>89</v>
      </c>
      <c r="Q1" s="15" t="s">
        <v>4</v>
      </c>
      <c r="R1" s="13" t="s">
        <v>5</v>
      </c>
      <c r="S1" s="15" t="s">
        <v>6</v>
      </c>
    </row>
    <row r="2" spans="1:20" s="4" customFormat="1" ht="15" customHeight="1" x14ac:dyDescent="0.2">
      <c r="A2" s="4">
        <v>2000</v>
      </c>
      <c r="B2" s="4" t="s">
        <v>91</v>
      </c>
      <c r="C2" s="4">
        <v>1</v>
      </c>
      <c r="D2" s="4">
        <v>1</v>
      </c>
      <c r="E2" s="4" t="s">
        <v>100</v>
      </c>
      <c r="G2" s="4">
        <v>1994</v>
      </c>
      <c r="I2" s="5">
        <v>0.28000000000000003</v>
      </c>
      <c r="J2" s="3">
        <v>275</v>
      </c>
      <c r="K2" s="3">
        <f>SUM(J2/I2)</f>
        <v>982.142857142857</v>
      </c>
      <c r="L2" s="3"/>
      <c r="M2" s="5">
        <v>0.96899999999999997</v>
      </c>
      <c r="N2" s="5">
        <f t="shared" ref="N2:N10" si="0">SUM(M2/I2)</f>
        <v>3.4607142857142854</v>
      </c>
      <c r="O2" s="5">
        <f t="shared" ref="O2:O33" si="1">SUM(M2*2000)/J2</f>
        <v>7.0472727272727269</v>
      </c>
      <c r="P2" s="8">
        <v>37199</v>
      </c>
      <c r="Q2" s="6">
        <v>23.1</v>
      </c>
      <c r="R2" s="5">
        <v>3.15</v>
      </c>
      <c r="S2" s="6">
        <v>10.4</v>
      </c>
      <c r="T2" s="3"/>
    </row>
    <row r="3" spans="1:20" s="4" customFormat="1" ht="15" customHeight="1" x14ac:dyDescent="0.2">
      <c r="A3" s="4">
        <v>2001</v>
      </c>
      <c r="B3" s="4" t="s">
        <v>91</v>
      </c>
      <c r="C3" s="4">
        <v>1</v>
      </c>
      <c r="D3" s="4">
        <v>1</v>
      </c>
      <c r="E3" s="4" t="s">
        <v>100</v>
      </c>
      <c r="G3" s="4">
        <v>1994</v>
      </c>
      <c r="I3" s="5">
        <v>0.28000000000000003</v>
      </c>
      <c r="J3" s="3">
        <v>275</v>
      </c>
      <c r="K3" s="3">
        <f>SUM(J3/I3)</f>
        <v>982.142857142857</v>
      </c>
      <c r="L3" s="3"/>
      <c r="M3" s="5">
        <v>0.47149999999999997</v>
      </c>
      <c r="N3" s="5">
        <f t="shared" si="0"/>
        <v>1.6839285714285712</v>
      </c>
      <c r="O3" s="5">
        <f t="shared" si="1"/>
        <v>3.4290909090909092</v>
      </c>
      <c r="P3" s="8">
        <v>37197</v>
      </c>
      <c r="Q3" s="6">
        <v>22.4</v>
      </c>
      <c r="R3" s="5">
        <v>3.21</v>
      </c>
      <c r="S3" s="6">
        <v>9.8000000000000007</v>
      </c>
      <c r="T3" s="3"/>
    </row>
    <row r="4" spans="1:20" s="4" customFormat="1" ht="15" customHeight="1" x14ac:dyDescent="0.2">
      <c r="A4" s="4">
        <v>2002</v>
      </c>
      <c r="B4" s="4" t="s">
        <v>91</v>
      </c>
      <c r="C4" s="4">
        <v>1</v>
      </c>
      <c r="D4" s="4">
        <v>1</v>
      </c>
      <c r="E4" s="4" t="s">
        <v>100</v>
      </c>
      <c r="G4" s="4">
        <v>1994</v>
      </c>
      <c r="I4" s="5">
        <v>0.28000000000000003</v>
      </c>
      <c r="J4" s="3">
        <v>275</v>
      </c>
      <c r="K4" s="3">
        <f>SUM(J4/I4)</f>
        <v>982.142857142857</v>
      </c>
      <c r="L4" s="3">
        <v>250</v>
      </c>
      <c r="M4" s="5">
        <v>1</v>
      </c>
      <c r="N4" s="5">
        <f t="shared" si="0"/>
        <v>3.5714285714285712</v>
      </c>
      <c r="O4" s="5">
        <f t="shared" si="1"/>
        <v>7.2727272727272725</v>
      </c>
      <c r="P4" s="8">
        <v>37919</v>
      </c>
      <c r="Q4" s="6">
        <v>24.6</v>
      </c>
      <c r="R4" s="5">
        <v>3.31</v>
      </c>
      <c r="S4" s="6">
        <v>6.8</v>
      </c>
      <c r="T4" s="3"/>
    </row>
    <row r="5" spans="1:20" s="4" customFormat="1" ht="15" customHeight="1" x14ac:dyDescent="0.2">
      <c r="A5" s="4">
        <v>2003</v>
      </c>
      <c r="B5" s="4" t="s">
        <v>91</v>
      </c>
      <c r="C5" s="4">
        <v>1</v>
      </c>
      <c r="D5" s="4">
        <v>1</v>
      </c>
      <c r="E5" s="4" t="s">
        <v>100</v>
      </c>
      <c r="G5" s="4">
        <v>1994</v>
      </c>
      <c r="I5" s="5">
        <v>0.28000000000000003</v>
      </c>
      <c r="J5" s="3">
        <v>275</v>
      </c>
      <c r="K5" s="3">
        <f>SUM(J5/I5)</f>
        <v>982.142857142857</v>
      </c>
      <c r="L5" s="3"/>
      <c r="M5" s="5">
        <v>1</v>
      </c>
      <c r="N5" s="5">
        <f t="shared" si="0"/>
        <v>3.5714285714285712</v>
      </c>
      <c r="O5" s="5">
        <f t="shared" si="1"/>
        <v>7.2727272727272725</v>
      </c>
      <c r="P5" s="8"/>
      <c r="Q5" s="6"/>
      <c r="R5" s="5"/>
      <c r="S5" s="6"/>
      <c r="T5" s="3"/>
    </row>
    <row r="6" spans="1:20" s="4" customFormat="1" ht="15" customHeight="1" x14ac:dyDescent="0.2">
      <c r="A6" s="4">
        <v>2004</v>
      </c>
      <c r="B6" s="4" t="s">
        <v>91</v>
      </c>
      <c r="C6" s="4">
        <v>1</v>
      </c>
      <c r="D6" s="4">
        <v>1</v>
      </c>
      <c r="E6" s="4" t="s">
        <v>100</v>
      </c>
      <c r="G6" s="4">
        <v>1994</v>
      </c>
      <c r="I6" s="5">
        <v>0.28000000000000003</v>
      </c>
      <c r="J6" s="3">
        <v>275</v>
      </c>
      <c r="K6" s="3">
        <v>982</v>
      </c>
      <c r="L6" s="3">
        <v>158</v>
      </c>
      <c r="M6" s="5">
        <v>0.86</v>
      </c>
      <c r="N6" s="5">
        <f t="shared" si="0"/>
        <v>3.0714285714285712</v>
      </c>
      <c r="O6" s="5">
        <f t="shared" si="1"/>
        <v>6.2545454545454549</v>
      </c>
      <c r="P6" s="8">
        <v>38295</v>
      </c>
      <c r="Q6" s="6">
        <v>23.2</v>
      </c>
      <c r="R6" s="5">
        <v>3.62</v>
      </c>
      <c r="S6" s="6">
        <v>6.2</v>
      </c>
      <c r="T6" s="3"/>
    </row>
    <row r="7" spans="1:20" s="4" customFormat="1" ht="15" customHeight="1" x14ac:dyDescent="0.2">
      <c r="A7" s="4">
        <v>2005</v>
      </c>
      <c r="B7" s="4" t="s">
        <v>91</v>
      </c>
      <c r="C7" s="4">
        <v>1</v>
      </c>
      <c r="D7" s="4">
        <v>1</v>
      </c>
      <c r="E7" s="4" t="s">
        <v>100</v>
      </c>
      <c r="G7" s="4">
        <v>1994</v>
      </c>
      <c r="I7" s="5">
        <v>0.28000000000000003</v>
      </c>
      <c r="J7" s="3">
        <v>275</v>
      </c>
      <c r="K7" s="3">
        <v>982</v>
      </c>
      <c r="L7" s="3"/>
      <c r="M7" s="5">
        <v>1</v>
      </c>
      <c r="N7" s="5">
        <f t="shared" si="0"/>
        <v>3.5714285714285712</v>
      </c>
      <c r="O7" s="5">
        <f t="shared" si="1"/>
        <v>7.2727272727272725</v>
      </c>
      <c r="P7" s="8" t="s">
        <v>15</v>
      </c>
      <c r="Q7" s="6" t="s">
        <v>15</v>
      </c>
      <c r="R7" s="5" t="s">
        <v>15</v>
      </c>
      <c r="S7" s="6" t="s">
        <v>15</v>
      </c>
      <c r="T7" s="3"/>
    </row>
    <row r="8" spans="1:20" s="4" customFormat="1" ht="15" customHeight="1" x14ac:dyDescent="0.2">
      <c r="A8" s="4">
        <v>2006</v>
      </c>
      <c r="B8" s="4" t="s">
        <v>91</v>
      </c>
      <c r="C8" s="4">
        <v>1</v>
      </c>
      <c r="D8" s="4">
        <v>1</v>
      </c>
      <c r="E8" s="4" t="s">
        <v>100</v>
      </c>
      <c r="G8" s="4">
        <v>1994</v>
      </c>
      <c r="I8" s="5">
        <v>0.28000000000000003</v>
      </c>
      <c r="J8" s="3">
        <v>275</v>
      </c>
      <c r="K8" s="3">
        <v>982</v>
      </c>
      <c r="L8" s="3"/>
      <c r="M8" s="5">
        <v>1</v>
      </c>
      <c r="N8" s="5">
        <f t="shared" si="0"/>
        <v>3.5714285714285712</v>
      </c>
      <c r="O8" s="5">
        <f t="shared" si="1"/>
        <v>7.2727272727272725</v>
      </c>
      <c r="P8" s="8"/>
      <c r="Q8" s="6"/>
      <c r="R8" s="5"/>
      <c r="S8" s="6"/>
      <c r="T8" s="3"/>
    </row>
    <row r="9" spans="1:20" s="4" customFormat="1" ht="15" customHeight="1" x14ac:dyDescent="0.2">
      <c r="A9" s="4">
        <v>2007</v>
      </c>
      <c r="B9" s="4" t="s">
        <v>91</v>
      </c>
      <c r="C9" s="4">
        <v>1</v>
      </c>
      <c r="D9" s="4">
        <v>1</v>
      </c>
      <c r="E9" s="4" t="s">
        <v>100</v>
      </c>
      <c r="G9" s="4">
        <v>1994</v>
      </c>
      <c r="I9" s="5">
        <v>0.28000000000000003</v>
      </c>
      <c r="J9" s="3">
        <v>275</v>
      </c>
      <c r="K9" s="3">
        <v>982</v>
      </c>
      <c r="L9" s="3"/>
      <c r="M9" s="5">
        <v>0.3</v>
      </c>
      <c r="N9" s="5">
        <f t="shared" si="0"/>
        <v>1.0714285714285714</v>
      </c>
      <c r="O9" s="5">
        <f t="shared" si="1"/>
        <v>2.1818181818181817</v>
      </c>
      <c r="P9" s="8">
        <v>39392</v>
      </c>
      <c r="Q9" s="6">
        <v>23.2</v>
      </c>
      <c r="R9" s="5">
        <v>3.43</v>
      </c>
      <c r="S9" s="6">
        <v>9.8000000000000007</v>
      </c>
      <c r="T9" s="3"/>
    </row>
    <row r="10" spans="1:20" s="4" customFormat="1" ht="15" customHeight="1" x14ac:dyDescent="0.2">
      <c r="A10" s="4">
        <v>2000</v>
      </c>
      <c r="B10" s="4" t="s">
        <v>91</v>
      </c>
      <c r="C10" s="4">
        <v>1</v>
      </c>
      <c r="D10" s="4">
        <v>1</v>
      </c>
      <c r="E10" s="4" t="s">
        <v>101</v>
      </c>
      <c r="F10" s="4">
        <v>339</v>
      </c>
      <c r="G10" s="4">
        <v>1997</v>
      </c>
      <c r="H10" s="4" t="s">
        <v>12</v>
      </c>
      <c r="I10" s="5">
        <v>0.25</v>
      </c>
      <c r="J10" s="3">
        <v>208</v>
      </c>
      <c r="K10" s="3">
        <f t="shared" ref="K10:K22" si="2">SUM(J10/I10)</f>
        <v>832</v>
      </c>
      <c r="L10" s="3"/>
      <c r="M10" s="5">
        <v>0.68149999999999999</v>
      </c>
      <c r="N10" s="5">
        <f t="shared" si="0"/>
        <v>2.726</v>
      </c>
      <c r="O10" s="5">
        <f t="shared" si="1"/>
        <v>6.552884615384615</v>
      </c>
      <c r="Q10" s="6"/>
      <c r="R10" s="5"/>
      <c r="S10" s="6"/>
      <c r="T10" s="3"/>
    </row>
    <row r="11" spans="1:20" s="4" customFormat="1" ht="15" customHeight="1" x14ac:dyDescent="0.2">
      <c r="A11" s="4">
        <v>2000</v>
      </c>
      <c r="B11" s="4" t="s">
        <v>91</v>
      </c>
      <c r="C11" s="4">
        <v>4</v>
      </c>
      <c r="D11" s="4">
        <v>6</v>
      </c>
      <c r="E11" s="4" t="s">
        <v>101</v>
      </c>
      <c r="F11" s="4">
        <v>191</v>
      </c>
      <c r="G11" s="4">
        <v>1997</v>
      </c>
      <c r="H11" s="4" t="s">
        <v>14</v>
      </c>
      <c r="I11" s="5">
        <v>1.38</v>
      </c>
      <c r="J11" s="3">
        <v>1900</v>
      </c>
      <c r="K11" s="3">
        <f t="shared" si="2"/>
        <v>1376.8115942028987</v>
      </c>
      <c r="L11" s="3"/>
      <c r="M11" s="5">
        <v>3.7545000000000002</v>
      </c>
      <c r="N11" s="5">
        <f>SUM(M11)/I11</f>
        <v>2.7206521739130438</v>
      </c>
      <c r="O11" s="5">
        <f t="shared" si="1"/>
        <v>3.9521052631578946</v>
      </c>
      <c r="P11" s="8">
        <v>37564</v>
      </c>
      <c r="Q11" s="6">
        <v>24.5</v>
      </c>
      <c r="R11" s="5">
        <v>3.25</v>
      </c>
      <c r="S11" s="6">
        <v>10.4</v>
      </c>
      <c r="T11" s="3"/>
    </row>
    <row r="12" spans="1:20" s="4" customFormat="1" ht="15" customHeight="1" x14ac:dyDescent="0.2">
      <c r="A12" s="4">
        <v>2000</v>
      </c>
      <c r="B12" s="4" t="s">
        <v>91</v>
      </c>
      <c r="C12" s="4">
        <v>5</v>
      </c>
      <c r="D12" s="4">
        <v>7</v>
      </c>
      <c r="E12" s="4" t="s">
        <v>101</v>
      </c>
      <c r="F12" s="4">
        <v>191</v>
      </c>
      <c r="G12" s="4">
        <v>1997</v>
      </c>
      <c r="H12" s="4" t="s">
        <v>14</v>
      </c>
      <c r="I12" s="5">
        <v>1.25</v>
      </c>
      <c r="J12" s="3">
        <v>1716</v>
      </c>
      <c r="K12" s="3">
        <f t="shared" si="2"/>
        <v>1372.8</v>
      </c>
      <c r="L12" s="3"/>
      <c r="M12" s="5">
        <v>2.7965</v>
      </c>
      <c r="N12" s="5">
        <f>SUM(M12)/I12</f>
        <v>2.2372000000000001</v>
      </c>
      <c r="O12" s="5">
        <f t="shared" si="1"/>
        <v>3.2593240093240095</v>
      </c>
      <c r="P12" s="8">
        <v>37564</v>
      </c>
      <c r="Q12" s="6">
        <v>24.5</v>
      </c>
      <c r="R12" s="5">
        <v>3.02</v>
      </c>
      <c r="S12" s="6">
        <v>12.5</v>
      </c>
      <c r="T12" s="3"/>
    </row>
    <row r="13" spans="1:20" s="4" customFormat="1" ht="15" customHeight="1" x14ac:dyDescent="0.2">
      <c r="A13" s="4">
        <v>2001</v>
      </c>
      <c r="B13" s="4" t="s">
        <v>91</v>
      </c>
      <c r="C13" s="4">
        <v>1</v>
      </c>
      <c r="D13" s="4">
        <v>1</v>
      </c>
      <c r="E13" s="4" t="s">
        <v>101</v>
      </c>
      <c r="F13" s="4">
        <v>339</v>
      </c>
      <c r="G13" s="4">
        <v>1997</v>
      </c>
      <c r="H13" s="4" t="s">
        <v>102</v>
      </c>
      <c r="I13" s="5">
        <v>0.25</v>
      </c>
      <c r="J13" s="3">
        <v>208</v>
      </c>
      <c r="K13" s="3">
        <f t="shared" si="2"/>
        <v>832</v>
      </c>
      <c r="L13" s="3">
        <v>182</v>
      </c>
      <c r="M13" s="5">
        <v>0.44550000000000001</v>
      </c>
      <c r="N13" s="5">
        <f>SUM(M13/I13)</f>
        <v>1.782</v>
      </c>
      <c r="O13" s="5">
        <f t="shared" si="1"/>
        <v>4.2836538461538458</v>
      </c>
      <c r="P13" s="8">
        <v>37197</v>
      </c>
      <c r="Q13" s="6">
        <v>21.4</v>
      </c>
      <c r="R13" s="5">
        <v>3.06</v>
      </c>
      <c r="S13" s="6">
        <v>11.6</v>
      </c>
      <c r="T13" s="3"/>
    </row>
    <row r="14" spans="1:20" s="4" customFormat="1" ht="15" customHeight="1" x14ac:dyDescent="0.2">
      <c r="A14" s="4">
        <v>2001</v>
      </c>
      <c r="B14" s="4" t="s">
        <v>91</v>
      </c>
      <c r="C14" s="4">
        <v>4</v>
      </c>
      <c r="D14" s="4">
        <v>6</v>
      </c>
      <c r="E14" s="4" t="s">
        <v>101</v>
      </c>
      <c r="F14" s="4">
        <v>191</v>
      </c>
      <c r="G14" s="4">
        <v>1997</v>
      </c>
      <c r="H14" s="4" t="s">
        <v>14</v>
      </c>
      <c r="I14" s="5">
        <v>1.38</v>
      </c>
      <c r="J14" s="3">
        <v>1900</v>
      </c>
      <c r="K14" s="3">
        <f t="shared" si="2"/>
        <v>1376.8115942028987</v>
      </c>
      <c r="L14" s="3">
        <v>182</v>
      </c>
      <c r="M14" s="5">
        <v>4.5815000000000001</v>
      </c>
      <c r="N14" s="5">
        <f>SUM(M14)/I14</f>
        <v>3.3199275362318845</v>
      </c>
      <c r="O14" s="5">
        <f t="shared" si="1"/>
        <v>4.8226315789473686</v>
      </c>
      <c r="P14" s="8">
        <v>37197</v>
      </c>
      <c r="Q14" s="6">
        <v>21.4</v>
      </c>
      <c r="R14" s="5">
        <v>3.06</v>
      </c>
      <c r="S14" s="6">
        <v>11.6</v>
      </c>
      <c r="T14" s="3"/>
    </row>
    <row r="15" spans="1:20" s="4" customFormat="1" ht="15" customHeight="1" x14ac:dyDescent="0.2">
      <c r="A15" s="4">
        <v>2001</v>
      </c>
      <c r="B15" s="4" t="s">
        <v>91</v>
      </c>
      <c r="C15" s="4">
        <v>5</v>
      </c>
      <c r="D15" s="4">
        <v>7</v>
      </c>
      <c r="E15" s="4" t="s">
        <v>101</v>
      </c>
      <c r="F15" s="4">
        <v>191</v>
      </c>
      <c r="G15" s="4">
        <v>1997</v>
      </c>
      <c r="H15" s="4" t="s">
        <v>14</v>
      </c>
      <c r="I15" s="5">
        <v>1.25</v>
      </c>
      <c r="J15" s="3">
        <v>1716</v>
      </c>
      <c r="K15" s="3">
        <f t="shared" si="2"/>
        <v>1372.8</v>
      </c>
      <c r="L15" s="3">
        <v>182</v>
      </c>
      <c r="M15" s="5">
        <v>2.9655</v>
      </c>
      <c r="N15" s="5">
        <f>SUM(M15)/I15</f>
        <v>2.3723999999999998</v>
      </c>
      <c r="O15" s="5">
        <f t="shared" si="1"/>
        <v>3.4562937062937062</v>
      </c>
      <c r="P15" s="8">
        <v>37197</v>
      </c>
      <c r="Q15" s="6">
        <v>21.4</v>
      </c>
      <c r="R15" s="5">
        <v>3.06</v>
      </c>
      <c r="S15" s="6">
        <v>11.6</v>
      </c>
      <c r="T15" s="3"/>
    </row>
    <row r="16" spans="1:20" s="4" customFormat="1" ht="15" customHeight="1" x14ac:dyDescent="0.2">
      <c r="A16" s="4">
        <v>2002</v>
      </c>
      <c r="B16" s="4" t="s">
        <v>91</v>
      </c>
      <c r="C16" s="4">
        <v>1</v>
      </c>
      <c r="D16" s="4">
        <v>1</v>
      </c>
      <c r="E16" s="4" t="s">
        <v>101</v>
      </c>
      <c r="F16" s="4">
        <v>339</v>
      </c>
      <c r="G16" s="4">
        <v>1997</v>
      </c>
      <c r="H16" s="4" t="s">
        <v>103</v>
      </c>
      <c r="I16" s="5">
        <v>0.25</v>
      </c>
      <c r="J16" s="3">
        <v>208</v>
      </c>
      <c r="K16" s="3">
        <f t="shared" si="2"/>
        <v>832</v>
      </c>
      <c r="L16" s="3">
        <v>255</v>
      </c>
      <c r="M16" s="5">
        <v>0.56999999999999995</v>
      </c>
      <c r="N16" s="5">
        <f>SUM(M16/I16)</f>
        <v>2.2799999999999998</v>
      </c>
      <c r="O16" s="5">
        <f t="shared" si="1"/>
        <v>5.4807692307692308</v>
      </c>
      <c r="P16" s="8">
        <v>37919</v>
      </c>
      <c r="Q16" s="6">
        <v>24.6</v>
      </c>
      <c r="R16" s="5">
        <v>3.31</v>
      </c>
      <c r="S16" s="6">
        <v>6.8</v>
      </c>
      <c r="T16" s="3"/>
    </row>
    <row r="17" spans="1:20" s="4" customFormat="1" ht="15" customHeight="1" x14ac:dyDescent="0.2">
      <c r="A17" s="4">
        <v>2002</v>
      </c>
      <c r="B17" s="4" t="s">
        <v>91</v>
      </c>
      <c r="C17" s="4">
        <v>4</v>
      </c>
      <c r="D17" s="4">
        <v>6</v>
      </c>
      <c r="E17" s="4" t="s">
        <v>101</v>
      </c>
      <c r="F17" s="4">
        <v>191</v>
      </c>
      <c r="G17" s="4">
        <v>1997</v>
      </c>
      <c r="H17" s="4" t="s">
        <v>14</v>
      </c>
      <c r="I17" s="5">
        <v>1.38</v>
      </c>
      <c r="J17" s="3">
        <v>1900</v>
      </c>
      <c r="K17" s="3">
        <f t="shared" si="2"/>
        <v>1376.8115942028987</v>
      </c>
      <c r="L17" s="3">
        <v>174</v>
      </c>
      <c r="M17" s="5">
        <v>2.96</v>
      </c>
      <c r="N17" s="5">
        <f>SUM(M17)/I17</f>
        <v>2.1449275362318843</v>
      </c>
      <c r="O17" s="5">
        <f t="shared" si="1"/>
        <v>3.1157894736842104</v>
      </c>
      <c r="P17" s="8">
        <v>37918</v>
      </c>
      <c r="Q17" s="6">
        <v>25</v>
      </c>
      <c r="R17" s="5">
        <v>3.55</v>
      </c>
      <c r="S17" s="6">
        <v>6.7</v>
      </c>
      <c r="T17" s="3"/>
    </row>
    <row r="18" spans="1:20" s="4" customFormat="1" ht="15" customHeight="1" x14ac:dyDescent="0.2">
      <c r="A18" s="4">
        <v>2002</v>
      </c>
      <c r="B18" s="4" t="s">
        <v>91</v>
      </c>
      <c r="C18" s="4">
        <v>5</v>
      </c>
      <c r="D18" s="4">
        <v>7</v>
      </c>
      <c r="E18" s="4" t="s">
        <v>101</v>
      </c>
      <c r="F18" s="4">
        <v>191</v>
      </c>
      <c r="G18" s="4">
        <v>1997</v>
      </c>
      <c r="H18" s="4" t="s">
        <v>14</v>
      </c>
      <c r="I18" s="5">
        <v>1.25</v>
      </c>
      <c r="J18" s="3">
        <v>1716</v>
      </c>
      <c r="K18" s="3">
        <f t="shared" si="2"/>
        <v>1372.8</v>
      </c>
      <c r="L18" s="3">
        <v>187</v>
      </c>
      <c r="M18" s="5">
        <v>3.08</v>
      </c>
      <c r="N18" s="5">
        <f>SUM(M18)/I18</f>
        <v>2.464</v>
      </c>
      <c r="O18" s="5">
        <f t="shared" si="1"/>
        <v>3.5897435897435899</v>
      </c>
      <c r="P18" s="8">
        <v>37918</v>
      </c>
      <c r="Q18" s="6">
        <v>24.4</v>
      </c>
      <c r="R18" s="5">
        <v>3.52</v>
      </c>
      <c r="S18" s="6">
        <v>7.1</v>
      </c>
      <c r="T18" s="3"/>
    </row>
    <row r="19" spans="1:20" s="4" customFormat="1" ht="15" customHeight="1" x14ac:dyDescent="0.2">
      <c r="A19" s="4">
        <v>2003</v>
      </c>
      <c r="B19" s="4" t="s">
        <v>91</v>
      </c>
      <c r="C19" s="4">
        <v>1</v>
      </c>
      <c r="D19" s="4">
        <v>1</v>
      </c>
      <c r="E19" s="4" t="s">
        <v>101</v>
      </c>
      <c r="F19" s="4">
        <v>339</v>
      </c>
      <c r="G19" s="4">
        <v>1997</v>
      </c>
      <c r="H19" s="4" t="s">
        <v>104</v>
      </c>
      <c r="I19" s="5">
        <v>0.25</v>
      </c>
      <c r="J19" s="3">
        <v>208</v>
      </c>
      <c r="K19" s="3">
        <f t="shared" si="2"/>
        <v>832</v>
      </c>
      <c r="L19" s="3">
        <v>150</v>
      </c>
      <c r="M19" s="5">
        <v>1.1000000000000001</v>
      </c>
      <c r="N19" s="5">
        <f>SUM(M19/I19)</f>
        <v>4.4000000000000004</v>
      </c>
      <c r="O19" s="5">
        <f t="shared" si="1"/>
        <v>10.576923076923077</v>
      </c>
      <c r="P19" s="8">
        <v>37927</v>
      </c>
      <c r="Q19" s="6">
        <v>24.8</v>
      </c>
      <c r="R19" s="5"/>
      <c r="S19" s="6"/>
      <c r="T19" s="3"/>
    </row>
    <row r="20" spans="1:20" s="4" customFormat="1" ht="15" customHeight="1" x14ac:dyDescent="0.2">
      <c r="A20" s="4">
        <v>2003</v>
      </c>
      <c r="B20" s="4" t="s">
        <v>91</v>
      </c>
      <c r="C20" s="4">
        <v>4</v>
      </c>
      <c r="D20" s="4">
        <v>6</v>
      </c>
      <c r="E20" s="4" t="s">
        <v>101</v>
      </c>
      <c r="F20" s="4">
        <v>191</v>
      </c>
      <c r="G20" s="4">
        <v>1997</v>
      </c>
      <c r="H20" s="4" t="s">
        <v>14</v>
      </c>
      <c r="I20" s="5">
        <v>1.38</v>
      </c>
      <c r="J20" s="3">
        <v>1900</v>
      </c>
      <c r="K20" s="3">
        <f t="shared" si="2"/>
        <v>1376.8115942028987</v>
      </c>
      <c r="L20" s="3">
        <v>150</v>
      </c>
      <c r="M20" s="5">
        <v>4.7</v>
      </c>
      <c r="N20" s="5">
        <f>SUM(M20)/I20</f>
        <v>3.4057971014492758</v>
      </c>
      <c r="O20" s="5">
        <f t="shared" si="1"/>
        <v>4.9473684210526319</v>
      </c>
      <c r="P20" s="8">
        <v>37927</v>
      </c>
      <c r="Q20" s="6">
        <v>25</v>
      </c>
      <c r="R20" s="5"/>
      <c r="S20" s="6"/>
      <c r="T20" s="3"/>
    </row>
    <row r="21" spans="1:20" s="4" customFormat="1" ht="15" customHeight="1" x14ac:dyDescent="0.2">
      <c r="A21" s="4">
        <v>2003</v>
      </c>
      <c r="B21" s="4" t="s">
        <v>91</v>
      </c>
      <c r="C21" s="4">
        <v>5</v>
      </c>
      <c r="D21" s="4">
        <v>7</v>
      </c>
      <c r="E21" s="4" t="s">
        <v>101</v>
      </c>
      <c r="F21" s="4">
        <v>191</v>
      </c>
      <c r="G21" s="4">
        <v>1997</v>
      </c>
      <c r="H21" s="4" t="s">
        <v>14</v>
      </c>
      <c r="I21" s="5">
        <v>1.25</v>
      </c>
      <c r="J21" s="3">
        <v>1716</v>
      </c>
      <c r="K21" s="3">
        <f t="shared" si="2"/>
        <v>1372.8</v>
      </c>
      <c r="L21" s="3">
        <v>150</v>
      </c>
      <c r="M21" s="5">
        <v>3.5</v>
      </c>
      <c r="N21" s="5">
        <f>SUM(M21)/I21</f>
        <v>2.8</v>
      </c>
      <c r="O21" s="5">
        <f t="shared" si="1"/>
        <v>4.0792540792540795</v>
      </c>
      <c r="P21" s="8">
        <v>37927</v>
      </c>
      <c r="Q21" s="6">
        <v>25</v>
      </c>
      <c r="R21" s="5"/>
      <c r="S21" s="6"/>
      <c r="T21" s="3"/>
    </row>
    <row r="22" spans="1:20" s="4" customFormat="1" ht="15" customHeight="1" x14ac:dyDescent="0.2">
      <c r="A22" s="4">
        <v>2004</v>
      </c>
      <c r="B22" s="4" t="s">
        <v>91</v>
      </c>
      <c r="C22" s="4">
        <v>1</v>
      </c>
      <c r="D22" s="4">
        <v>1</v>
      </c>
      <c r="E22" s="4" t="s">
        <v>101</v>
      </c>
      <c r="F22" s="4">
        <v>339</v>
      </c>
      <c r="G22" s="4">
        <v>1997</v>
      </c>
      <c r="H22" s="4" t="s">
        <v>105</v>
      </c>
      <c r="I22" s="5">
        <v>0.25</v>
      </c>
      <c r="J22" s="3">
        <v>208</v>
      </c>
      <c r="K22" s="3">
        <f t="shared" si="2"/>
        <v>832</v>
      </c>
      <c r="L22" s="3">
        <v>158</v>
      </c>
      <c r="M22" s="5">
        <v>0.7</v>
      </c>
      <c r="N22" s="5">
        <f>SUM(M22/I22)</f>
        <v>2.8</v>
      </c>
      <c r="O22" s="5">
        <f t="shared" si="1"/>
        <v>6.7307692307692308</v>
      </c>
      <c r="P22" s="8">
        <v>37929</v>
      </c>
      <c r="Q22" s="6">
        <v>23.2</v>
      </c>
      <c r="R22" s="5">
        <v>3.62</v>
      </c>
      <c r="S22" s="6">
        <v>6.2</v>
      </c>
      <c r="T22" s="3"/>
    </row>
    <row r="23" spans="1:20" s="4" customFormat="1" ht="15" customHeight="1" x14ac:dyDescent="0.2">
      <c r="A23" s="4">
        <v>2004</v>
      </c>
      <c r="B23" s="4" t="s">
        <v>91</v>
      </c>
      <c r="C23" s="4">
        <v>4</v>
      </c>
      <c r="D23" s="4">
        <v>6</v>
      </c>
      <c r="E23" s="4" t="s">
        <v>101</v>
      </c>
      <c r="F23" s="4">
        <v>191</v>
      </c>
      <c r="G23" s="4">
        <v>1997</v>
      </c>
      <c r="H23" s="4" t="s">
        <v>14</v>
      </c>
      <c r="I23" s="5">
        <v>1.38</v>
      </c>
      <c r="J23" s="3">
        <v>1900</v>
      </c>
      <c r="K23" s="3">
        <v>1377</v>
      </c>
      <c r="L23" s="3">
        <v>195</v>
      </c>
      <c r="M23" s="5">
        <v>5.9</v>
      </c>
      <c r="N23" s="5">
        <f>SUM(M23)/I23</f>
        <v>4.27536231884058</v>
      </c>
      <c r="O23" s="5">
        <f t="shared" si="1"/>
        <v>6.2105263157894735</v>
      </c>
      <c r="P23" s="8">
        <v>38295</v>
      </c>
      <c r="Q23" s="6">
        <v>23.2</v>
      </c>
      <c r="R23" s="5">
        <v>3.62</v>
      </c>
      <c r="S23" s="6">
        <v>6.2</v>
      </c>
      <c r="T23" s="3"/>
    </row>
    <row r="24" spans="1:20" s="4" customFormat="1" ht="15" customHeight="1" x14ac:dyDescent="0.2">
      <c r="A24" s="4">
        <v>2004</v>
      </c>
      <c r="B24" s="4" t="s">
        <v>91</v>
      </c>
      <c r="C24" s="4">
        <v>5</v>
      </c>
      <c r="D24" s="4">
        <v>7</v>
      </c>
      <c r="E24" s="4" t="s">
        <v>101</v>
      </c>
      <c r="F24" s="4">
        <v>191</v>
      </c>
      <c r="G24" s="4">
        <v>1997</v>
      </c>
      <c r="H24" s="4" t="s">
        <v>14</v>
      </c>
      <c r="I24" s="5">
        <v>1.25</v>
      </c>
      <c r="J24" s="3">
        <v>1716</v>
      </c>
      <c r="K24" s="3">
        <f>SUM(J24/I24)</f>
        <v>1372.8</v>
      </c>
      <c r="L24" s="3">
        <v>190</v>
      </c>
      <c r="M24" s="5">
        <v>5.6</v>
      </c>
      <c r="N24" s="5">
        <f>SUM(M24)/I24</f>
        <v>4.4799999999999995</v>
      </c>
      <c r="O24" s="5">
        <f t="shared" si="1"/>
        <v>6.526806526806527</v>
      </c>
      <c r="P24" s="8">
        <v>38295</v>
      </c>
      <c r="Q24" s="6">
        <v>23.2</v>
      </c>
      <c r="R24" s="5">
        <v>3.63</v>
      </c>
      <c r="S24" s="6">
        <v>5.7</v>
      </c>
      <c r="T24" s="3"/>
    </row>
    <row r="25" spans="1:20" s="4" customFormat="1" ht="15" customHeight="1" x14ac:dyDescent="0.2">
      <c r="A25" s="4">
        <v>2005</v>
      </c>
      <c r="B25" s="4" t="s">
        <v>91</v>
      </c>
      <c r="C25" s="4">
        <v>1</v>
      </c>
      <c r="D25" s="4">
        <v>1</v>
      </c>
      <c r="E25" s="4" t="s">
        <v>101</v>
      </c>
      <c r="F25" s="4">
        <v>339</v>
      </c>
      <c r="G25" s="4">
        <v>1997</v>
      </c>
      <c r="H25" s="4" t="s">
        <v>106</v>
      </c>
      <c r="I25" s="5">
        <v>0.25</v>
      </c>
      <c r="J25" s="3">
        <v>208</v>
      </c>
      <c r="K25" s="3">
        <f>SUM(J25/I25)</f>
        <v>832</v>
      </c>
      <c r="L25" s="3"/>
      <c r="M25" s="5">
        <v>1.2</v>
      </c>
      <c r="N25" s="5">
        <f>SUM(M25/I25)</f>
        <v>4.8</v>
      </c>
      <c r="O25" s="5">
        <f t="shared" si="1"/>
        <v>11.538461538461538</v>
      </c>
      <c r="P25" s="8" t="s">
        <v>15</v>
      </c>
      <c r="Q25" s="6" t="s">
        <v>15</v>
      </c>
      <c r="R25" s="5" t="s">
        <v>15</v>
      </c>
      <c r="S25" s="6" t="s">
        <v>15</v>
      </c>
      <c r="T25" s="3"/>
    </row>
    <row r="26" spans="1:20" s="4" customFormat="1" ht="15" customHeight="1" x14ac:dyDescent="0.2">
      <c r="A26" s="4">
        <v>2005</v>
      </c>
      <c r="B26" s="4" t="s">
        <v>91</v>
      </c>
      <c r="C26" s="4">
        <v>4</v>
      </c>
      <c r="D26" s="4">
        <v>6</v>
      </c>
      <c r="E26" s="4" t="s">
        <v>101</v>
      </c>
      <c r="F26" s="4">
        <v>191</v>
      </c>
      <c r="G26" s="4">
        <v>1997</v>
      </c>
      <c r="H26" s="4" t="s">
        <v>14</v>
      </c>
      <c r="I26" s="5">
        <v>1.38</v>
      </c>
      <c r="J26" s="3">
        <v>1900</v>
      </c>
      <c r="K26" s="3">
        <v>1377</v>
      </c>
      <c r="L26" s="3" t="s">
        <v>15</v>
      </c>
      <c r="M26" s="5">
        <v>5.5</v>
      </c>
      <c r="N26" s="5">
        <f>SUM(M26)/I26</f>
        <v>3.985507246376812</v>
      </c>
      <c r="O26" s="5">
        <f t="shared" si="1"/>
        <v>5.7894736842105265</v>
      </c>
      <c r="P26" s="8" t="s">
        <v>15</v>
      </c>
      <c r="Q26" s="6" t="s">
        <v>15</v>
      </c>
      <c r="R26" s="5" t="s">
        <v>15</v>
      </c>
      <c r="S26" s="6" t="s">
        <v>15</v>
      </c>
      <c r="T26" s="3"/>
    </row>
    <row r="27" spans="1:20" s="4" customFormat="1" ht="15" customHeight="1" x14ac:dyDescent="0.2">
      <c r="A27" s="4">
        <v>2005</v>
      </c>
      <c r="B27" s="4" t="s">
        <v>91</v>
      </c>
      <c r="C27" s="4">
        <v>5</v>
      </c>
      <c r="D27" s="4">
        <v>7</v>
      </c>
      <c r="E27" s="4" t="s">
        <v>101</v>
      </c>
      <c r="F27" s="4">
        <v>191</v>
      </c>
      <c r="G27" s="4">
        <v>1997</v>
      </c>
      <c r="H27" s="4" t="s">
        <v>14</v>
      </c>
      <c r="I27" s="5">
        <v>1.25</v>
      </c>
      <c r="J27" s="3">
        <v>1716</v>
      </c>
      <c r="K27" s="3">
        <f>SUM(J27/I27)</f>
        <v>1372.8</v>
      </c>
      <c r="L27" s="3" t="s">
        <v>15</v>
      </c>
      <c r="M27" s="5">
        <v>6</v>
      </c>
      <c r="N27" s="5">
        <f>SUM(M27)/I27</f>
        <v>4.8</v>
      </c>
      <c r="O27" s="5">
        <f t="shared" si="1"/>
        <v>6.9930069930069934</v>
      </c>
      <c r="P27" s="8" t="s">
        <v>15</v>
      </c>
      <c r="Q27" s="6" t="s">
        <v>15</v>
      </c>
      <c r="R27" s="5" t="s">
        <v>15</v>
      </c>
      <c r="S27" s="6" t="s">
        <v>15</v>
      </c>
      <c r="T27" s="3"/>
    </row>
    <row r="28" spans="1:20" s="4" customFormat="1" ht="15" customHeight="1" x14ac:dyDescent="0.2">
      <c r="A28" s="4">
        <v>2006</v>
      </c>
      <c r="B28" s="4" t="s">
        <v>91</v>
      </c>
      <c r="C28" s="4">
        <v>1</v>
      </c>
      <c r="D28" s="4">
        <v>1</v>
      </c>
      <c r="E28" s="4" t="s">
        <v>101</v>
      </c>
      <c r="F28" s="4">
        <v>339</v>
      </c>
      <c r="G28" s="4">
        <v>1997</v>
      </c>
      <c r="H28" s="4" t="s">
        <v>107</v>
      </c>
      <c r="I28" s="5">
        <v>0.25</v>
      </c>
      <c r="J28" s="3">
        <v>208</v>
      </c>
      <c r="K28" s="3">
        <f>SUM(J28/I28)</f>
        <v>832</v>
      </c>
      <c r="L28" s="3"/>
      <c r="M28" s="5">
        <v>0.9</v>
      </c>
      <c r="N28" s="5">
        <f>SUM(M28/I28)</f>
        <v>3.6</v>
      </c>
      <c r="O28" s="5">
        <f t="shared" si="1"/>
        <v>8.6538461538461533</v>
      </c>
      <c r="P28" s="8">
        <v>39027</v>
      </c>
      <c r="Q28" s="6">
        <v>22.4</v>
      </c>
      <c r="R28" s="5">
        <v>3.67</v>
      </c>
      <c r="S28" s="6">
        <v>5.4</v>
      </c>
      <c r="T28" s="3"/>
    </row>
    <row r="29" spans="1:20" s="4" customFormat="1" ht="15" customHeight="1" x14ac:dyDescent="0.2">
      <c r="A29" s="4">
        <v>2006</v>
      </c>
      <c r="B29" s="4" t="s">
        <v>91</v>
      </c>
      <c r="C29" s="4">
        <v>4</v>
      </c>
      <c r="D29" s="4">
        <v>5</v>
      </c>
      <c r="E29" s="4" t="s">
        <v>101</v>
      </c>
      <c r="F29" s="4">
        <v>191</v>
      </c>
      <c r="G29" s="4">
        <v>2003</v>
      </c>
      <c r="H29" s="4" t="s">
        <v>34</v>
      </c>
      <c r="I29" s="5">
        <v>2.25</v>
      </c>
      <c r="J29" s="3">
        <v>3990</v>
      </c>
      <c r="K29" s="3">
        <f>SUM(J29/I29)</f>
        <v>1773.3333333333333</v>
      </c>
      <c r="L29" s="3">
        <v>142</v>
      </c>
      <c r="M29" s="5">
        <v>8.5</v>
      </c>
      <c r="N29" s="5">
        <f>SUM(M29/I29)</f>
        <v>3.7777777777777777</v>
      </c>
      <c r="O29" s="5">
        <f t="shared" si="1"/>
        <v>4.2606516290726821</v>
      </c>
      <c r="P29" s="8">
        <v>39027</v>
      </c>
      <c r="Q29" s="6">
        <v>23</v>
      </c>
      <c r="R29" s="5">
        <v>3.68</v>
      </c>
      <c r="S29" s="6">
        <v>5.5</v>
      </c>
      <c r="T29" s="3"/>
    </row>
    <row r="30" spans="1:20" s="4" customFormat="1" ht="15" customHeight="1" x14ac:dyDescent="0.2">
      <c r="A30" s="4">
        <v>2006</v>
      </c>
      <c r="B30" s="4" t="s">
        <v>91</v>
      </c>
      <c r="C30" s="4">
        <v>4</v>
      </c>
      <c r="D30" s="4">
        <v>6</v>
      </c>
      <c r="E30" s="4" t="s">
        <v>101</v>
      </c>
      <c r="F30" s="4">
        <v>191</v>
      </c>
      <c r="G30" s="4">
        <v>1997</v>
      </c>
      <c r="H30" s="4" t="s">
        <v>14</v>
      </c>
      <c r="I30" s="5">
        <v>1.38</v>
      </c>
      <c r="J30" s="3">
        <v>1900</v>
      </c>
      <c r="K30" s="3">
        <v>1377</v>
      </c>
      <c r="L30" s="3"/>
      <c r="M30" s="5">
        <v>5.7</v>
      </c>
      <c r="N30" s="5">
        <f>SUM(M30)/I30</f>
        <v>4.1304347826086962</v>
      </c>
      <c r="O30" s="5">
        <f t="shared" si="1"/>
        <v>6</v>
      </c>
      <c r="P30" s="8">
        <v>39027</v>
      </c>
      <c r="Q30" s="6">
        <v>23</v>
      </c>
      <c r="R30" s="5">
        <v>3.66</v>
      </c>
      <c r="S30" s="6">
        <v>6</v>
      </c>
      <c r="T30" s="3"/>
    </row>
    <row r="31" spans="1:20" s="4" customFormat="1" ht="15" customHeight="1" x14ac:dyDescent="0.2">
      <c r="A31" s="4">
        <v>2006</v>
      </c>
      <c r="B31" s="4" t="s">
        <v>91</v>
      </c>
      <c r="C31" s="4">
        <v>5</v>
      </c>
      <c r="D31" s="4">
        <v>7</v>
      </c>
      <c r="E31" s="4" t="s">
        <v>101</v>
      </c>
      <c r="F31" s="4">
        <v>191</v>
      </c>
      <c r="G31" s="4">
        <v>1997</v>
      </c>
      <c r="H31" s="4" t="s">
        <v>14</v>
      </c>
      <c r="I31" s="5">
        <v>1.25</v>
      </c>
      <c r="J31" s="3">
        <v>1716</v>
      </c>
      <c r="K31" s="3">
        <f>SUM(J31/I31)</f>
        <v>1372.8</v>
      </c>
      <c r="L31" s="3"/>
      <c r="M31" s="5">
        <v>6.7</v>
      </c>
      <c r="N31" s="5">
        <f>SUM(M31)/I31</f>
        <v>5.36</v>
      </c>
      <c r="O31" s="5">
        <f t="shared" si="1"/>
        <v>7.8088578088578089</v>
      </c>
      <c r="P31" s="8">
        <v>39028</v>
      </c>
      <c r="Q31" s="6">
        <v>22</v>
      </c>
      <c r="R31" s="5">
        <v>3.5</v>
      </c>
      <c r="S31" s="6">
        <v>6.2</v>
      </c>
      <c r="T31" s="3"/>
    </row>
    <row r="32" spans="1:20" s="4" customFormat="1" ht="15" customHeight="1" x14ac:dyDescent="0.2">
      <c r="A32" s="4">
        <v>2007</v>
      </c>
      <c r="B32" s="4" t="s">
        <v>91</v>
      </c>
      <c r="C32" s="4">
        <v>1</v>
      </c>
      <c r="D32" s="4">
        <v>1</v>
      </c>
      <c r="E32" s="4" t="s">
        <v>101</v>
      </c>
      <c r="F32" s="4">
        <v>339</v>
      </c>
      <c r="G32" s="4">
        <v>1997</v>
      </c>
      <c r="H32" s="4" t="s">
        <v>108</v>
      </c>
      <c r="I32" s="5">
        <v>0.25</v>
      </c>
      <c r="J32" s="3">
        <v>208</v>
      </c>
      <c r="K32" s="3">
        <f>SUM(J32/I32)</f>
        <v>832</v>
      </c>
      <c r="L32" s="3"/>
      <c r="M32" s="5">
        <v>0.3</v>
      </c>
      <c r="N32" s="5">
        <f>SUM(M32/I32)</f>
        <v>1.2</v>
      </c>
      <c r="O32" s="5">
        <f t="shared" si="1"/>
        <v>2.8846153846153846</v>
      </c>
      <c r="P32" s="8">
        <v>39392</v>
      </c>
      <c r="Q32" s="6">
        <v>23.2</v>
      </c>
      <c r="R32" s="5">
        <v>3.43</v>
      </c>
      <c r="S32" s="6">
        <v>9.8000000000000007</v>
      </c>
      <c r="T32" s="3"/>
    </row>
    <row r="33" spans="1:20" s="4" customFormat="1" ht="15" customHeight="1" x14ac:dyDescent="0.2">
      <c r="A33" s="4">
        <v>2007</v>
      </c>
      <c r="B33" s="4" t="s">
        <v>91</v>
      </c>
      <c r="C33" s="4">
        <v>4</v>
      </c>
      <c r="D33" s="4">
        <v>5</v>
      </c>
      <c r="E33" s="4" t="s">
        <v>101</v>
      </c>
      <c r="F33" s="4">
        <v>191</v>
      </c>
      <c r="G33" s="4">
        <v>2003</v>
      </c>
      <c r="H33" s="4" t="s">
        <v>34</v>
      </c>
      <c r="I33" s="5">
        <v>2.19</v>
      </c>
      <c r="J33" s="3">
        <v>3990</v>
      </c>
      <c r="K33" s="3">
        <f>SUM(J33/I33)</f>
        <v>1821.9178082191781</v>
      </c>
      <c r="L33" s="3">
        <v>185</v>
      </c>
      <c r="M33" s="5">
        <v>10.9</v>
      </c>
      <c r="N33" s="5">
        <f>SUM(M33/I33)</f>
        <v>4.9771689497716896</v>
      </c>
      <c r="O33" s="5">
        <f t="shared" si="1"/>
        <v>5.4636591478696745</v>
      </c>
      <c r="P33" s="8">
        <v>39392</v>
      </c>
      <c r="Q33" s="6">
        <v>23.4</v>
      </c>
      <c r="R33" s="5">
        <v>3.43</v>
      </c>
      <c r="S33" s="6">
        <v>7</v>
      </c>
      <c r="T33" s="3"/>
    </row>
    <row r="34" spans="1:20" s="4" customFormat="1" ht="15" customHeight="1" x14ac:dyDescent="0.2">
      <c r="A34" s="4">
        <v>2007</v>
      </c>
      <c r="B34" s="4" t="s">
        <v>91</v>
      </c>
      <c r="C34" s="4">
        <v>4</v>
      </c>
      <c r="D34" s="4">
        <v>6</v>
      </c>
      <c r="E34" s="4" t="s">
        <v>101</v>
      </c>
      <c r="F34" s="4">
        <v>191</v>
      </c>
      <c r="G34" s="4">
        <v>1997</v>
      </c>
      <c r="H34" s="4" t="s">
        <v>14</v>
      </c>
      <c r="I34" s="5">
        <v>1.38</v>
      </c>
      <c r="J34" s="3">
        <v>1900</v>
      </c>
      <c r="K34" s="3">
        <v>1377</v>
      </c>
      <c r="L34" s="3">
        <v>182</v>
      </c>
      <c r="M34" s="5">
        <v>7.6</v>
      </c>
      <c r="N34" s="5">
        <f>SUM(M34)/I34</f>
        <v>5.5072463768115947</v>
      </c>
      <c r="O34" s="5">
        <f t="shared" ref="O34:O55" si="3">SUM(M34*2000)/J34</f>
        <v>8</v>
      </c>
      <c r="P34" s="8">
        <v>39392</v>
      </c>
      <c r="Q34" s="6">
        <v>23.4</v>
      </c>
      <c r="R34" s="5">
        <v>3.44</v>
      </c>
      <c r="S34" s="6">
        <v>7.2</v>
      </c>
      <c r="T34" s="3"/>
    </row>
    <row r="35" spans="1:20" s="4" customFormat="1" ht="15" customHeight="1" x14ac:dyDescent="0.2">
      <c r="A35" s="4">
        <v>2007</v>
      </c>
      <c r="B35" s="4" t="s">
        <v>91</v>
      </c>
      <c r="C35" s="4">
        <v>5</v>
      </c>
      <c r="D35" s="4">
        <v>7</v>
      </c>
      <c r="E35" s="4" t="s">
        <v>101</v>
      </c>
      <c r="F35" s="4">
        <v>191</v>
      </c>
      <c r="G35" s="4">
        <v>1997</v>
      </c>
      <c r="H35" s="4" t="s">
        <v>14</v>
      </c>
      <c r="I35" s="5">
        <v>1.25</v>
      </c>
      <c r="J35" s="3">
        <v>1716</v>
      </c>
      <c r="K35" s="3">
        <f>SUM(J35/I35)</f>
        <v>1372.8</v>
      </c>
      <c r="L35" s="3">
        <v>180</v>
      </c>
      <c r="M35" s="5">
        <v>5.7</v>
      </c>
      <c r="N35" s="5">
        <f>SUM(M35)/I35</f>
        <v>4.5600000000000005</v>
      </c>
      <c r="O35" s="5">
        <f t="shared" si="3"/>
        <v>6.6433566433566433</v>
      </c>
      <c r="P35" s="8">
        <v>39392</v>
      </c>
      <c r="Q35" s="6">
        <v>22.4</v>
      </c>
      <c r="R35" s="5">
        <v>3.53</v>
      </c>
      <c r="S35" s="6">
        <v>6.3</v>
      </c>
      <c r="T35" s="3"/>
    </row>
    <row r="36" spans="1:20" s="4" customFormat="1" ht="15" customHeight="1" x14ac:dyDescent="0.2">
      <c r="A36" s="4">
        <v>2008</v>
      </c>
      <c r="B36" s="4" t="s">
        <v>91</v>
      </c>
      <c r="C36" s="4">
        <v>1</v>
      </c>
      <c r="D36" s="4">
        <v>1</v>
      </c>
      <c r="E36" s="4" t="s">
        <v>101</v>
      </c>
      <c r="F36" s="4">
        <v>339</v>
      </c>
      <c r="G36" s="4">
        <v>1997</v>
      </c>
      <c r="H36" s="4" t="s">
        <v>109</v>
      </c>
      <c r="I36" s="5">
        <v>0.34</v>
      </c>
      <c r="J36" s="3">
        <v>208</v>
      </c>
      <c r="K36" s="3">
        <f>SUM(J36/I36)</f>
        <v>611.76470588235293</v>
      </c>
      <c r="L36" s="3"/>
      <c r="M36" s="5"/>
      <c r="N36" s="5">
        <f>SUM(M36/I36)</f>
        <v>0</v>
      </c>
      <c r="O36" s="5">
        <f t="shared" si="3"/>
        <v>0</v>
      </c>
      <c r="P36" s="8"/>
      <c r="Q36" s="6"/>
      <c r="R36" s="5"/>
      <c r="S36" s="6"/>
      <c r="T36" s="3"/>
    </row>
    <row r="37" spans="1:20" s="4" customFormat="1" ht="15" customHeight="1" x14ac:dyDescent="0.2">
      <c r="A37" s="4">
        <v>2008</v>
      </c>
      <c r="B37" s="4" t="s">
        <v>91</v>
      </c>
      <c r="C37" s="4">
        <v>4</v>
      </c>
      <c r="D37" s="4">
        <v>5</v>
      </c>
      <c r="E37" s="4" t="s">
        <v>101</v>
      </c>
      <c r="F37" s="4">
        <v>191</v>
      </c>
      <c r="G37" s="4">
        <v>2003</v>
      </c>
      <c r="H37" s="4" t="s">
        <v>34</v>
      </c>
      <c r="I37" s="5">
        <v>2.19</v>
      </c>
      <c r="J37" s="3">
        <v>3990</v>
      </c>
      <c r="K37" s="3">
        <f>SUM(J37/I37)</f>
        <v>1821.9178082191781</v>
      </c>
      <c r="L37" s="3">
        <v>180</v>
      </c>
      <c r="M37" s="5">
        <v>7.6</v>
      </c>
      <c r="N37" s="5">
        <f>SUM(M37/I37)</f>
        <v>3.4703196347031962</v>
      </c>
      <c r="O37" s="5">
        <f t="shared" si="3"/>
        <v>3.8095238095238093</v>
      </c>
      <c r="P37" s="8">
        <v>39752</v>
      </c>
      <c r="Q37" s="6">
        <v>23.8</v>
      </c>
      <c r="R37" s="5">
        <v>3.75</v>
      </c>
      <c r="S37" s="6">
        <v>6.8</v>
      </c>
      <c r="T37" s="3"/>
    </row>
    <row r="38" spans="1:20" s="4" customFormat="1" ht="15" customHeight="1" x14ac:dyDescent="0.2">
      <c r="A38" s="4">
        <v>2008</v>
      </c>
      <c r="B38" s="4" t="s">
        <v>91</v>
      </c>
      <c r="C38" s="4">
        <v>4</v>
      </c>
      <c r="D38" s="4">
        <v>6</v>
      </c>
      <c r="E38" s="4" t="s">
        <v>101</v>
      </c>
      <c r="F38" s="4">
        <v>191</v>
      </c>
      <c r="G38" s="4">
        <v>1997</v>
      </c>
      <c r="H38" s="4" t="s">
        <v>14</v>
      </c>
      <c r="I38" s="5">
        <v>1.38</v>
      </c>
      <c r="J38" s="3">
        <v>1900</v>
      </c>
      <c r="K38" s="3">
        <v>1377</v>
      </c>
      <c r="L38" s="3">
        <v>195</v>
      </c>
      <c r="M38" s="5">
        <v>4.5</v>
      </c>
      <c r="N38" s="5">
        <f>SUM(M38)/I38</f>
        <v>3.2608695652173916</v>
      </c>
      <c r="O38" s="5">
        <f t="shared" si="3"/>
        <v>4.7368421052631575</v>
      </c>
      <c r="P38" s="8">
        <v>39752</v>
      </c>
      <c r="Q38" s="6">
        <v>26.2</v>
      </c>
      <c r="R38" s="5">
        <v>3.61</v>
      </c>
      <c r="S38" s="6">
        <v>7.1</v>
      </c>
      <c r="T38" s="3"/>
    </row>
    <row r="39" spans="1:20" s="4" customFormat="1" ht="15" customHeight="1" x14ac:dyDescent="0.2">
      <c r="A39" s="4">
        <v>2008</v>
      </c>
      <c r="B39" s="4" t="s">
        <v>91</v>
      </c>
      <c r="C39" s="4">
        <v>5</v>
      </c>
      <c r="D39" s="4">
        <v>7</v>
      </c>
      <c r="E39" s="4" t="s">
        <v>101</v>
      </c>
      <c r="F39" s="4">
        <v>191</v>
      </c>
      <c r="G39" s="4">
        <v>1997</v>
      </c>
      <c r="H39" s="4" t="s">
        <v>14</v>
      </c>
      <c r="I39" s="5">
        <v>1.25</v>
      </c>
      <c r="J39" s="3">
        <v>1716</v>
      </c>
      <c r="K39" s="3">
        <f>SUM(J39/I39)</f>
        <v>1372.8</v>
      </c>
      <c r="L39" s="3">
        <v>185</v>
      </c>
      <c r="M39" s="5">
        <v>3.8</v>
      </c>
      <c r="N39" s="5">
        <f>SUM(M39)/I39</f>
        <v>3.04</v>
      </c>
      <c r="O39" s="5">
        <f t="shared" si="3"/>
        <v>4.4289044289044286</v>
      </c>
      <c r="P39" s="8">
        <v>39752</v>
      </c>
      <c r="Q39" s="6">
        <v>25.8</v>
      </c>
      <c r="R39" s="5">
        <v>3.71</v>
      </c>
      <c r="S39" s="6">
        <v>10.3</v>
      </c>
      <c r="T39" s="3"/>
    </row>
    <row r="40" spans="1:20" s="4" customFormat="1" ht="15" customHeight="1" x14ac:dyDescent="0.2">
      <c r="A40" s="4">
        <v>2009</v>
      </c>
      <c r="B40" s="4" t="s">
        <v>91</v>
      </c>
      <c r="C40" s="4">
        <v>1</v>
      </c>
      <c r="D40" s="4">
        <v>1</v>
      </c>
      <c r="E40" s="4" t="s">
        <v>101</v>
      </c>
      <c r="F40" s="4">
        <v>339</v>
      </c>
      <c r="G40" s="4">
        <v>1997</v>
      </c>
      <c r="H40" s="4" t="s">
        <v>110</v>
      </c>
      <c r="I40" s="5">
        <v>0.34</v>
      </c>
      <c r="J40" s="3">
        <v>208</v>
      </c>
      <c r="K40" s="3">
        <f>SUM(J40/I40)</f>
        <v>611.76470588235293</v>
      </c>
      <c r="L40" s="3"/>
      <c r="M40" s="5">
        <v>0.5</v>
      </c>
      <c r="N40" s="5">
        <f>SUM(M40/I40)</f>
        <v>1.4705882352941175</v>
      </c>
      <c r="O40" s="5">
        <f t="shared" si="3"/>
        <v>4.8076923076923075</v>
      </c>
      <c r="P40" s="8">
        <v>40108</v>
      </c>
      <c r="Q40" s="6">
        <v>26</v>
      </c>
      <c r="R40" s="5">
        <v>3.8</v>
      </c>
      <c r="S40" s="6">
        <v>5.4</v>
      </c>
      <c r="T40" s="3"/>
    </row>
    <row r="41" spans="1:20" s="4" customFormat="1" ht="15" customHeight="1" x14ac:dyDescent="0.2">
      <c r="A41" s="4">
        <v>2009</v>
      </c>
      <c r="B41" s="4" t="s">
        <v>91</v>
      </c>
      <c r="C41" s="4">
        <v>4</v>
      </c>
      <c r="D41" s="4">
        <v>5</v>
      </c>
      <c r="E41" s="4" t="s">
        <v>101</v>
      </c>
      <c r="F41" s="4">
        <v>191</v>
      </c>
      <c r="G41" s="4">
        <v>2003</v>
      </c>
      <c r="H41" s="4" t="s">
        <v>34</v>
      </c>
      <c r="I41" s="5">
        <v>2.19</v>
      </c>
      <c r="J41" s="3">
        <v>3990</v>
      </c>
      <c r="K41" s="3">
        <f>SUM(J41/I41)</f>
        <v>1821.9178082191781</v>
      </c>
      <c r="L41" s="3"/>
      <c r="M41" s="5">
        <v>9.9</v>
      </c>
      <c r="N41" s="5">
        <f>SUM(M41/I41)</f>
        <v>4.5205479452054798</v>
      </c>
      <c r="O41" s="5">
        <f t="shared" si="3"/>
        <v>4.9624060150375939</v>
      </c>
      <c r="P41" s="8">
        <v>40108</v>
      </c>
      <c r="Q41" s="6">
        <v>25</v>
      </c>
      <c r="R41" s="5">
        <v>3.69</v>
      </c>
      <c r="S41" s="6">
        <v>5.9</v>
      </c>
      <c r="T41" s="3"/>
    </row>
    <row r="42" spans="1:20" s="4" customFormat="1" ht="15" customHeight="1" x14ac:dyDescent="0.2">
      <c r="A42" s="4">
        <v>2009</v>
      </c>
      <c r="B42" s="4" t="s">
        <v>91</v>
      </c>
      <c r="C42" s="4">
        <v>4</v>
      </c>
      <c r="D42" s="4">
        <v>6</v>
      </c>
      <c r="E42" s="4" t="s">
        <v>101</v>
      </c>
      <c r="F42" s="4">
        <v>191</v>
      </c>
      <c r="G42" s="4">
        <v>1997</v>
      </c>
      <c r="H42" s="4" t="s">
        <v>14</v>
      </c>
      <c r="I42" s="5">
        <v>1.38</v>
      </c>
      <c r="J42" s="3">
        <v>1900</v>
      </c>
      <c r="K42" s="3">
        <v>1377</v>
      </c>
      <c r="L42" s="3"/>
      <c r="M42" s="5">
        <v>5.5</v>
      </c>
      <c r="N42" s="5">
        <f>SUM(M42)/I42</f>
        <v>3.985507246376812</v>
      </c>
      <c r="O42" s="5">
        <f t="shared" si="3"/>
        <v>5.7894736842105265</v>
      </c>
      <c r="P42" s="8">
        <v>40108</v>
      </c>
      <c r="Q42" s="6">
        <v>26</v>
      </c>
      <c r="R42" s="5">
        <v>3.8</v>
      </c>
      <c r="S42" s="6">
        <v>5.4</v>
      </c>
      <c r="T42" s="3"/>
    </row>
    <row r="43" spans="1:20" s="4" customFormat="1" ht="15" customHeight="1" x14ac:dyDescent="0.2">
      <c r="A43" s="4">
        <v>2009</v>
      </c>
      <c r="B43" s="4" t="s">
        <v>91</v>
      </c>
      <c r="C43" s="4">
        <v>5</v>
      </c>
      <c r="D43" s="4">
        <v>7</v>
      </c>
      <c r="E43" s="4" t="s">
        <v>101</v>
      </c>
      <c r="F43" s="4">
        <v>191</v>
      </c>
      <c r="G43" s="4">
        <v>1997</v>
      </c>
      <c r="H43" s="4" t="s">
        <v>14</v>
      </c>
      <c r="I43" s="5">
        <v>1.25</v>
      </c>
      <c r="J43" s="3">
        <v>1716</v>
      </c>
      <c r="K43" s="3">
        <f>SUM(J43/I43)</f>
        <v>1372.8</v>
      </c>
      <c r="L43" s="3"/>
      <c r="M43" s="5">
        <v>4.4000000000000004</v>
      </c>
      <c r="N43" s="5">
        <f>SUM(M43)/I43</f>
        <v>3.5200000000000005</v>
      </c>
      <c r="O43" s="5">
        <f t="shared" si="3"/>
        <v>5.1282051282051286</v>
      </c>
      <c r="P43" s="8">
        <v>40108</v>
      </c>
      <c r="Q43" s="6">
        <v>24.8</v>
      </c>
      <c r="R43" s="5">
        <v>3.85</v>
      </c>
      <c r="S43" s="6">
        <v>3.9</v>
      </c>
      <c r="T43" s="3"/>
    </row>
    <row r="44" spans="1:20" s="4" customFormat="1" ht="15" customHeight="1" x14ac:dyDescent="0.2">
      <c r="A44" s="4">
        <v>2010</v>
      </c>
      <c r="B44" s="4" t="s">
        <v>91</v>
      </c>
      <c r="C44" s="4">
        <v>1</v>
      </c>
      <c r="D44" s="4">
        <v>1</v>
      </c>
      <c r="E44" s="4" t="s">
        <v>101</v>
      </c>
      <c r="F44" s="4">
        <v>339</v>
      </c>
      <c r="G44" s="4">
        <v>1997</v>
      </c>
      <c r="H44" s="4" t="s">
        <v>111</v>
      </c>
      <c r="I44" s="5">
        <v>0.34</v>
      </c>
      <c r="J44" s="3">
        <v>208</v>
      </c>
      <c r="K44" s="3">
        <f>SUM(J44/I44)</f>
        <v>611.76470588235293</v>
      </c>
      <c r="L44" s="3">
        <v>145</v>
      </c>
      <c r="M44" s="5">
        <v>0.36</v>
      </c>
      <c r="N44" s="5">
        <f>SUM(M44/I44)</f>
        <v>1.0588235294117645</v>
      </c>
      <c r="O44" s="5">
        <f t="shared" si="3"/>
        <v>3.4615384615384617</v>
      </c>
      <c r="P44" s="8">
        <v>40484</v>
      </c>
      <c r="Q44" s="6">
        <v>23</v>
      </c>
      <c r="R44" s="5">
        <v>3.25</v>
      </c>
      <c r="S44" s="6">
        <v>9.5</v>
      </c>
      <c r="T44" s="3"/>
    </row>
    <row r="45" spans="1:20" s="4" customFormat="1" ht="15" customHeight="1" x14ac:dyDescent="0.2">
      <c r="A45" s="4">
        <v>2010</v>
      </c>
      <c r="B45" s="4" t="s">
        <v>91</v>
      </c>
      <c r="C45" s="4">
        <v>4</v>
      </c>
      <c r="D45" s="4">
        <v>5</v>
      </c>
      <c r="E45" s="4" t="s">
        <v>101</v>
      </c>
      <c r="F45" s="4">
        <v>191</v>
      </c>
      <c r="G45" s="4">
        <v>2003</v>
      </c>
      <c r="H45" s="4" t="s">
        <v>34</v>
      </c>
      <c r="I45" s="5">
        <v>2.19</v>
      </c>
      <c r="J45" s="3">
        <v>3990</v>
      </c>
      <c r="K45" s="3">
        <f>SUM(J45/I45)</f>
        <v>1821.9178082191781</v>
      </c>
      <c r="L45" s="3">
        <v>137</v>
      </c>
      <c r="M45" s="5">
        <v>7.8</v>
      </c>
      <c r="N45" s="5">
        <f>SUM(M45/I45)</f>
        <v>3.5616438356164384</v>
      </c>
      <c r="O45" s="5">
        <f t="shared" si="3"/>
        <v>3.9097744360902253</v>
      </c>
      <c r="P45" s="8">
        <v>40484</v>
      </c>
      <c r="Q45" s="6">
        <v>24.6</v>
      </c>
      <c r="R45" s="5">
        <v>3.28</v>
      </c>
      <c r="S45" s="6">
        <v>10.3</v>
      </c>
      <c r="T45" s="3"/>
    </row>
    <row r="46" spans="1:20" s="4" customFormat="1" ht="15" customHeight="1" x14ac:dyDescent="0.2">
      <c r="A46" s="4">
        <v>2010</v>
      </c>
      <c r="B46" s="4" t="s">
        <v>91</v>
      </c>
      <c r="C46" s="4">
        <v>4</v>
      </c>
      <c r="D46" s="4">
        <v>6</v>
      </c>
      <c r="E46" s="4" t="s">
        <v>101</v>
      </c>
      <c r="F46" s="4">
        <v>191</v>
      </c>
      <c r="G46" s="4">
        <v>1997</v>
      </c>
      <c r="H46" s="4" t="s">
        <v>14</v>
      </c>
      <c r="I46" s="5">
        <v>1.38</v>
      </c>
      <c r="J46" s="3">
        <v>1900</v>
      </c>
      <c r="K46" s="3">
        <v>1377</v>
      </c>
      <c r="L46" s="3">
        <v>120</v>
      </c>
      <c r="M46" s="5">
        <v>4.8</v>
      </c>
      <c r="N46" s="5">
        <f>SUM(M46)/I46</f>
        <v>3.4782608695652177</v>
      </c>
      <c r="O46" s="5">
        <f t="shared" si="3"/>
        <v>5.0526315789473681</v>
      </c>
      <c r="P46" s="8">
        <v>40484</v>
      </c>
      <c r="Q46" s="6">
        <v>24.2</v>
      </c>
      <c r="R46" s="5">
        <v>3.31</v>
      </c>
      <c r="S46" s="6">
        <v>8.9</v>
      </c>
      <c r="T46" s="3"/>
    </row>
    <row r="47" spans="1:20" s="4" customFormat="1" ht="15" customHeight="1" x14ac:dyDescent="0.2">
      <c r="A47" s="4">
        <v>2010</v>
      </c>
      <c r="B47" s="4" t="s">
        <v>91</v>
      </c>
      <c r="C47" s="4">
        <v>5</v>
      </c>
      <c r="D47" s="4">
        <v>7</v>
      </c>
      <c r="E47" s="4" t="s">
        <v>101</v>
      </c>
      <c r="F47" s="4">
        <v>191</v>
      </c>
      <c r="G47" s="4">
        <v>1997</v>
      </c>
      <c r="H47" s="4" t="s">
        <v>14</v>
      </c>
      <c r="I47" s="5">
        <v>1.25</v>
      </c>
      <c r="J47" s="3">
        <v>1716</v>
      </c>
      <c r="K47" s="3">
        <f>SUM(J47/I47)</f>
        <v>1372.8</v>
      </c>
      <c r="L47" s="3">
        <v>145</v>
      </c>
      <c r="M47" s="5">
        <v>4.34</v>
      </c>
      <c r="N47" s="5">
        <f>SUM(M47)/I47</f>
        <v>3.472</v>
      </c>
      <c r="O47" s="5">
        <f t="shared" si="3"/>
        <v>5.0582750582750586</v>
      </c>
      <c r="P47" s="8">
        <v>40484</v>
      </c>
      <c r="Q47" s="6">
        <v>23</v>
      </c>
      <c r="R47" s="5">
        <v>3.25</v>
      </c>
      <c r="S47" s="6">
        <v>9.5</v>
      </c>
      <c r="T47" s="3"/>
    </row>
    <row r="48" spans="1:20" s="4" customFormat="1" ht="15" customHeight="1" x14ac:dyDescent="0.2">
      <c r="A48" s="4">
        <v>2011</v>
      </c>
      <c r="B48" s="4" t="s">
        <v>91</v>
      </c>
      <c r="C48" s="4">
        <v>1</v>
      </c>
      <c r="D48" s="4">
        <v>1</v>
      </c>
      <c r="E48" s="4" t="s">
        <v>101</v>
      </c>
      <c r="F48" s="4">
        <v>339</v>
      </c>
      <c r="G48" s="4">
        <v>1997</v>
      </c>
      <c r="H48" s="4" t="s">
        <v>112</v>
      </c>
      <c r="I48" s="5">
        <v>0.34</v>
      </c>
      <c r="J48" s="3">
        <v>208</v>
      </c>
      <c r="K48" s="3">
        <f>SUM(J48/I48)</f>
        <v>611.76470588235293</v>
      </c>
      <c r="L48" s="3"/>
      <c r="M48" s="5">
        <v>0.33</v>
      </c>
      <c r="N48" s="5">
        <f>SUM(M48/I48)</f>
        <v>0.97058823529411764</v>
      </c>
      <c r="O48" s="5">
        <f t="shared" si="3"/>
        <v>3.1730769230769229</v>
      </c>
      <c r="P48" s="8">
        <v>40856</v>
      </c>
      <c r="Q48" s="6">
        <v>22.2</v>
      </c>
      <c r="R48" s="5">
        <v>3.29</v>
      </c>
      <c r="S48" s="6">
        <v>8.4</v>
      </c>
      <c r="T48" s="3"/>
    </row>
    <row r="49" spans="1:20" s="4" customFormat="1" ht="15" customHeight="1" x14ac:dyDescent="0.2">
      <c r="A49" s="4">
        <v>2011</v>
      </c>
      <c r="B49" s="4" t="s">
        <v>91</v>
      </c>
      <c r="C49" s="4">
        <v>4</v>
      </c>
      <c r="D49" s="4">
        <v>5</v>
      </c>
      <c r="E49" s="4" t="s">
        <v>101</v>
      </c>
      <c r="F49" s="4">
        <v>191</v>
      </c>
      <c r="G49" s="4">
        <v>2003</v>
      </c>
      <c r="H49" s="4" t="s">
        <v>34</v>
      </c>
      <c r="I49" s="5">
        <v>2.19</v>
      </c>
      <c r="J49" s="3">
        <v>3990</v>
      </c>
      <c r="K49" s="3">
        <f>SUM(J49/I49)</f>
        <v>1821.9178082191781</v>
      </c>
      <c r="L49" s="3">
        <v>200</v>
      </c>
      <c r="M49" s="5">
        <v>8.1999999999999993</v>
      </c>
      <c r="N49" s="5">
        <f>SUM(M49/I49)</f>
        <v>3.7442922374429219</v>
      </c>
      <c r="O49" s="5">
        <f t="shared" si="3"/>
        <v>4.1102756892230579</v>
      </c>
      <c r="P49" s="8">
        <v>40856</v>
      </c>
      <c r="Q49" s="6">
        <v>22.2</v>
      </c>
      <c r="R49" s="5">
        <v>3.29</v>
      </c>
      <c r="S49" s="6">
        <v>8.4</v>
      </c>
      <c r="T49" s="3"/>
    </row>
    <row r="50" spans="1:20" s="4" customFormat="1" ht="15" customHeight="1" x14ac:dyDescent="0.2">
      <c r="A50" s="4">
        <v>2011</v>
      </c>
      <c r="B50" s="4" t="s">
        <v>91</v>
      </c>
      <c r="C50" s="4">
        <v>4</v>
      </c>
      <c r="D50" s="4">
        <v>6</v>
      </c>
      <c r="E50" s="4" t="s">
        <v>101</v>
      </c>
      <c r="F50" s="4">
        <v>191</v>
      </c>
      <c r="G50" s="4">
        <v>1997</v>
      </c>
      <c r="H50" s="4" t="s">
        <v>14</v>
      </c>
      <c r="I50" s="5">
        <v>1.38</v>
      </c>
      <c r="J50" s="3">
        <v>1900</v>
      </c>
      <c r="K50" s="3">
        <v>1377</v>
      </c>
      <c r="L50" s="3">
        <v>175</v>
      </c>
      <c r="M50" s="5">
        <v>4.07</v>
      </c>
      <c r="N50" s="5">
        <f>SUM(M50)/I50</f>
        <v>2.9492753623188408</v>
      </c>
      <c r="O50" s="5">
        <f t="shared" si="3"/>
        <v>4.2842105263157899</v>
      </c>
      <c r="P50" s="8">
        <v>40856</v>
      </c>
      <c r="Q50" s="6">
        <v>22.2</v>
      </c>
      <c r="R50" s="5">
        <v>3.34</v>
      </c>
      <c r="S50" s="6">
        <v>8.5</v>
      </c>
      <c r="T50" s="3"/>
    </row>
    <row r="51" spans="1:20" s="4" customFormat="1" ht="15" customHeight="1" x14ac:dyDescent="0.2">
      <c r="A51" s="4">
        <v>2011</v>
      </c>
      <c r="B51" s="4" t="s">
        <v>91</v>
      </c>
      <c r="C51" s="4">
        <v>5</v>
      </c>
      <c r="D51" s="4">
        <v>7</v>
      </c>
      <c r="E51" s="4" t="s">
        <v>101</v>
      </c>
      <c r="F51" s="4">
        <v>191</v>
      </c>
      <c r="G51" s="4">
        <v>1997</v>
      </c>
      <c r="H51" s="4" t="s">
        <v>14</v>
      </c>
      <c r="I51" s="5">
        <v>1.25</v>
      </c>
      <c r="J51" s="3">
        <v>1716</v>
      </c>
      <c r="K51" s="3">
        <f>SUM(J51/I51)</f>
        <v>1372.8</v>
      </c>
      <c r="L51" s="3">
        <v>185</v>
      </c>
      <c r="M51" s="5">
        <v>4.4000000000000004</v>
      </c>
      <c r="N51" s="5">
        <f>SUM(M51)/I51</f>
        <v>3.5200000000000005</v>
      </c>
      <c r="O51" s="5">
        <f t="shared" si="3"/>
        <v>5.1282051282051286</v>
      </c>
      <c r="P51" s="8">
        <v>40856</v>
      </c>
      <c r="Q51" s="6">
        <v>20.8</v>
      </c>
      <c r="R51" s="5">
        <v>3.25</v>
      </c>
      <c r="S51" s="6">
        <v>8.4</v>
      </c>
      <c r="T51" s="3"/>
    </row>
    <row r="52" spans="1:20" s="4" customFormat="1" ht="15" customHeight="1" x14ac:dyDescent="0.2">
      <c r="A52" s="4">
        <v>2012</v>
      </c>
      <c r="B52" s="4" t="s">
        <v>91</v>
      </c>
      <c r="C52" s="4">
        <v>1</v>
      </c>
      <c r="D52" s="4">
        <v>1</v>
      </c>
      <c r="E52" s="4" t="s">
        <v>101</v>
      </c>
      <c r="F52" s="4">
        <v>339</v>
      </c>
      <c r="G52" s="4">
        <v>1997</v>
      </c>
      <c r="H52" s="4" t="s">
        <v>113</v>
      </c>
      <c r="I52" s="5">
        <v>0.34</v>
      </c>
      <c r="J52" s="3">
        <v>208</v>
      </c>
      <c r="K52" s="3">
        <f>SUM(J52/I52)</f>
        <v>611.76470588235293</v>
      </c>
      <c r="L52" s="3"/>
      <c r="M52" s="5">
        <v>0.23</v>
      </c>
      <c r="N52" s="5">
        <f>SUM(M52/I52)</f>
        <v>0.67647058823529405</v>
      </c>
      <c r="O52" s="5">
        <f t="shared" si="3"/>
        <v>2.2115384615384617</v>
      </c>
      <c r="P52" s="8">
        <v>41210</v>
      </c>
      <c r="Q52" s="6">
        <v>23.2</v>
      </c>
      <c r="R52" s="5">
        <v>3.47</v>
      </c>
      <c r="S52" s="6">
        <v>6.03</v>
      </c>
      <c r="T52" s="3"/>
    </row>
    <row r="53" spans="1:20" s="4" customFormat="1" ht="15" customHeight="1" x14ac:dyDescent="0.2">
      <c r="A53" s="4">
        <v>2012</v>
      </c>
      <c r="B53" s="4" t="s">
        <v>91</v>
      </c>
      <c r="C53" s="4">
        <v>4</v>
      </c>
      <c r="D53" s="4">
        <v>5</v>
      </c>
      <c r="E53" s="4" t="s">
        <v>101</v>
      </c>
      <c r="F53" s="4">
        <v>191</v>
      </c>
      <c r="G53" s="4">
        <v>2003</v>
      </c>
      <c r="H53" s="4" t="s">
        <v>34</v>
      </c>
      <c r="I53" s="5">
        <v>2.19</v>
      </c>
      <c r="J53" s="3">
        <v>3990</v>
      </c>
      <c r="K53" s="3">
        <f>SUM(J53/I53)</f>
        <v>1821.9178082191781</v>
      </c>
      <c r="L53" s="3"/>
      <c r="M53" s="5">
        <f>3.94+4.27</f>
        <v>8.2099999999999991</v>
      </c>
      <c r="N53" s="5">
        <f>SUM(M53/I53)</f>
        <v>3.7488584474885842</v>
      </c>
      <c r="O53" s="5">
        <f t="shared" si="3"/>
        <v>4.1152882205513777</v>
      </c>
      <c r="P53" s="8" t="s">
        <v>35</v>
      </c>
      <c r="Q53" s="6">
        <f>(23.2+22.4)/2</f>
        <v>22.799999999999997</v>
      </c>
      <c r="R53" s="5">
        <f>(3.47+3.36)/2</f>
        <v>3.415</v>
      </c>
      <c r="S53" s="6">
        <f>(6.03+5.92)/2</f>
        <v>5.9749999999999996</v>
      </c>
      <c r="T53" s="3"/>
    </row>
    <row r="54" spans="1:20" s="4" customFormat="1" ht="15" customHeight="1" x14ac:dyDescent="0.2">
      <c r="A54" s="4">
        <v>2012</v>
      </c>
      <c r="B54" s="4" t="s">
        <v>91</v>
      </c>
      <c r="C54" s="4">
        <v>4</v>
      </c>
      <c r="D54" s="4">
        <v>6</v>
      </c>
      <c r="E54" s="4" t="s">
        <v>101</v>
      </c>
      <c r="F54" s="4">
        <v>191</v>
      </c>
      <c r="G54" s="4">
        <v>1997</v>
      </c>
      <c r="H54" s="4" t="s">
        <v>14</v>
      </c>
      <c r="I54" s="5">
        <v>1.38</v>
      </c>
      <c r="J54" s="3">
        <v>1900</v>
      </c>
      <c r="K54" s="3">
        <v>1377</v>
      </c>
      <c r="L54" s="3"/>
      <c r="M54" s="5">
        <v>5.67</v>
      </c>
      <c r="N54" s="5">
        <f>SUM(M54)/I54</f>
        <v>4.1086956521739131</v>
      </c>
      <c r="O54" s="5">
        <f t="shared" si="3"/>
        <v>5.9684210526315793</v>
      </c>
      <c r="P54" s="8">
        <v>41210</v>
      </c>
      <c r="Q54" s="6">
        <v>22.2</v>
      </c>
      <c r="R54" s="5">
        <v>3.45</v>
      </c>
      <c r="S54" s="6">
        <v>6.3</v>
      </c>
      <c r="T54" s="3"/>
    </row>
    <row r="55" spans="1:20" s="4" customFormat="1" ht="15" customHeight="1" x14ac:dyDescent="0.2">
      <c r="A55" s="4">
        <v>2012</v>
      </c>
      <c r="B55" s="4" t="s">
        <v>91</v>
      </c>
      <c r="C55" s="4">
        <v>5</v>
      </c>
      <c r="D55" s="4">
        <v>7</v>
      </c>
      <c r="E55" s="4" t="s">
        <v>101</v>
      </c>
      <c r="F55" s="4">
        <v>191</v>
      </c>
      <c r="G55" s="4">
        <v>1997</v>
      </c>
      <c r="H55" s="4" t="s">
        <v>14</v>
      </c>
      <c r="I55" s="5">
        <v>1.25</v>
      </c>
      <c r="J55" s="3">
        <v>1716</v>
      </c>
      <c r="K55" s="3">
        <f>SUM(J55/I55)</f>
        <v>1372.8</v>
      </c>
      <c r="L55" s="3"/>
      <c r="M55" s="5">
        <v>4.5199999999999996</v>
      </c>
      <c r="N55" s="5">
        <f>SUM(M55)/I55</f>
        <v>3.6159999999999997</v>
      </c>
      <c r="O55" s="5">
        <f t="shared" si="3"/>
        <v>5.2680652680652678</v>
      </c>
      <c r="P55" s="8">
        <v>41212</v>
      </c>
      <c r="Q55" s="6">
        <v>22.4</v>
      </c>
      <c r="R55" s="5">
        <v>3.36</v>
      </c>
      <c r="S55" s="6">
        <v>5.92</v>
      </c>
      <c r="T55" s="3"/>
    </row>
    <row r="56" spans="1:20" s="4" customFormat="1" ht="15" customHeight="1" x14ac:dyDescent="0.2">
      <c r="A56" s="4">
        <v>2010</v>
      </c>
      <c r="B56" s="4" t="s">
        <v>126</v>
      </c>
      <c r="C56" s="4" t="s">
        <v>135</v>
      </c>
      <c r="E56" s="4" t="s">
        <v>7</v>
      </c>
      <c r="I56" s="5"/>
      <c r="K56" s="3"/>
      <c r="L56" s="3">
        <v>100</v>
      </c>
      <c r="M56" s="5">
        <v>4.2</v>
      </c>
      <c r="N56" s="5"/>
      <c r="O56" s="5"/>
      <c r="P56" s="8">
        <v>40455</v>
      </c>
      <c r="Q56" s="6">
        <v>21.8</v>
      </c>
      <c r="R56" s="5">
        <v>3.25</v>
      </c>
      <c r="S56" s="6">
        <v>7.7</v>
      </c>
      <c r="T56" s="3"/>
    </row>
    <row r="57" spans="1:20" s="4" customFormat="1" ht="15" customHeight="1" x14ac:dyDescent="0.2">
      <c r="A57" s="4">
        <v>2011</v>
      </c>
      <c r="B57" s="4" t="s">
        <v>128</v>
      </c>
      <c r="C57" s="4" t="s">
        <v>135</v>
      </c>
      <c r="E57" s="4" t="s">
        <v>7</v>
      </c>
      <c r="I57" s="5"/>
      <c r="K57" s="3"/>
      <c r="L57" s="3"/>
      <c r="M57" s="5">
        <v>11.82</v>
      </c>
      <c r="N57" s="5"/>
      <c r="O57" s="5"/>
      <c r="P57" s="8">
        <v>40844</v>
      </c>
      <c r="Q57" s="6">
        <v>22.4</v>
      </c>
      <c r="R57" s="5">
        <v>3.4</v>
      </c>
      <c r="S57" s="6">
        <v>10.6</v>
      </c>
      <c r="T57" s="3"/>
    </row>
    <row r="58" spans="1:20" s="4" customFormat="1" ht="15" customHeight="1" x14ac:dyDescent="0.2">
      <c r="A58" s="4">
        <v>2012</v>
      </c>
      <c r="B58" s="4" t="s">
        <v>128</v>
      </c>
      <c r="C58" s="4" t="s">
        <v>135</v>
      </c>
      <c r="E58" s="4" t="s">
        <v>7</v>
      </c>
      <c r="I58" s="5"/>
      <c r="K58" s="3"/>
      <c r="L58" s="3"/>
      <c r="M58" s="5"/>
      <c r="N58" s="5"/>
      <c r="O58" s="5"/>
      <c r="P58" s="8"/>
      <c r="Q58" s="6"/>
      <c r="R58" s="5"/>
      <c r="S58" s="6"/>
      <c r="T58" s="3"/>
    </row>
    <row r="59" spans="1:20" s="4" customFormat="1" ht="15" customHeight="1" x14ac:dyDescent="0.2">
      <c r="A59" s="4">
        <v>2000</v>
      </c>
      <c r="B59" s="4" t="s">
        <v>91</v>
      </c>
      <c r="C59" s="4">
        <v>1</v>
      </c>
      <c r="D59" s="4">
        <v>2</v>
      </c>
      <c r="E59" s="4" t="s">
        <v>7</v>
      </c>
      <c r="F59" s="4">
        <v>548</v>
      </c>
      <c r="G59" s="4">
        <v>1996</v>
      </c>
      <c r="H59" s="4" t="s">
        <v>8</v>
      </c>
      <c r="I59" s="5">
        <v>1.98</v>
      </c>
      <c r="J59" s="3">
        <v>4000</v>
      </c>
      <c r="K59" s="3">
        <f t="shared" ref="K59:K90" si="4">SUM(J59/I59)</f>
        <v>2020.2020202020203</v>
      </c>
      <c r="L59" s="3">
        <v>128</v>
      </c>
      <c r="M59" s="5">
        <v>10.124000000000001</v>
      </c>
      <c r="N59" s="5">
        <f t="shared" ref="N59:N90" si="5">SUM(M59/I59)</f>
        <v>5.1131313131313139</v>
      </c>
      <c r="O59" s="5">
        <f t="shared" ref="O59:O90" si="6">SUM(M59*2000)/J59</f>
        <v>5.0620000000000003</v>
      </c>
      <c r="P59" s="8">
        <v>37187</v>
      </c>
      <c r="Q59" s="6">
        <v>25.4</v>
      </c>
      <c r="R59" s="5">
        <v>2.98</v>
      </c>
      <c r="S59" s="6">
        <v>14.4</v>
      </c>
      <c r="T59" s="3"/>
    </row>
    <row r="60" spans="1:20" s="4" customFormat="1" ht="15" customHeight="1" x14ac:dyDescent="0.2">
      <c r="A60" s="4">
        <v>2000</v>
      </c>
      <c r="B60" s="4" t="s">
        <v>91</v>
      </c>
      <c r="C60" s="4">
        <v>2</v>
      </c>
      <c r="D60" s="4">
        <v>4</v>
      </c>
      <c r="E60" s="4" t="s">
        <v>7</v>
      </c>
      <c r="F60" s="4" t="s">
        <v>9</v>
      </c>
      <c r="G60" s="4">
        <v>1987</v>
      </c>
      <c r="H60" s="4" t="s">
        <v>10</v>
      </c>
      <c r="I60" s="5">
        <v>1.42</v>
      </c>
      <c r="J60" s="3">
        <v>1532</v>
      </c>
      <c r="K60" s="3">
        <f t="shared" si="4"/>
        <v>1078.8732394366198</v>
      </c>
      <c r="L60" s="3"/>
      <c r="M60" s="5">
        <v>8.2370000000000001</v>
      </c>
      <c r="N60" s="5">
        <f t="shared" si="5"/>
        <v>5.8007042253521126</v>
      </c>
      <c r="O60" s="5">
        <f t="shared" si="6"/>
        <v>10.753263707571801</v>
      </c>
      <c r="P60" s="8">
        <v>37190</v>
      </c>
      <c r="Q60" s="6">
        <v>23</v>
      </c>
      <c r="R60" s="5">
        <v>2.96</v>
      </c>
      <c r="S60" s="6">
        <v>13.7</v>
      </c>
      <c r="T60" s="3"/>
    </row>
    <row r="61" spans="1:20" s="4" customFormat="1" ht="15" customHeight="1" x14ac:dyDescent="0.2">
      <c r="A61" s="4">
        <v>2000</v>
      </c>
      <c r="B61" s="4" t="s">
        <v>91</v>
      </c>
      <c r="C61" s="4">
        <v>2</v>
      </c>
      <c r="D61" s="4">
        <v>5</v>
      </c>
      <c r="E61" s="4" t="s">
        <v>7</v>
      </c>
      <c r="F61" s="4" t="s">
        <v>11</v>
      </c>
      <c r="G61" s="4">
        <v>1993</v>
      </c>
      <c r="H61" s="4" t="s">
        <v>12</v>
      </c>
      <c r="I61" s="5">
        <v>0.48</v>
      </c>
      <c r="J61" s="3">
        <v>800</v>
      </c>
      <c r="K61" s="3">
        <f t="shared" si="4"/>
        <v>1666.6666666666667</v>
      </c>
      <c r="L61" s="3">
        <v>223</v>
      </c>
      <c r="M61" s="5">
        <v>4.16</v>
      </c>
      <c r="N61" s="5">
        <f t="shared" si="5"/>
        <v>8.6666666666666679</v>
      </c>
      <c r="O61" s="5">
        <f t="shared" si="6"/>
        <v>10.4</v>
      </c>
      <c r="P61" s="8">
        <v>37190</v>
      </c>
      <c r="Q61" s="6">
        <v>23</v>
      </c>
      <c r="R61" s="5">
        <v>2.96</v>
      </c>
      <c r="S61" s="6">
        <v>13.7</v>
      </c>
      <c r="T61" s="3"/>
    </row>
    <row r="62" spans="1:20" s="4" customFormat="1" ht="15" customHeight="1" x14ac:dyDescent="0.2">
      <c r="A62" s="4">
        <v>2000</v>
      </c>
      <c r="B62" s="4" t="s">
        <v>91</v>
      </c>
      <c r="C62" s="4">
        <v>3</v>
      </c>
      <c r="D62" s="4">
        <v>4</v>
      </c>
      <c r="E62" s="4" t="s">
        <v>7</v>
      </c>
      <c r="F62" s="4">
        <v>95</v>
      </c>
      <c r="G62" s="4">
        <v>1996</v>
      </c>
      <c r="H62" s="4" t="s">
        <v>13</v>
      </c>
      <c r="I62" s="5">
        <v>2.4700000000000002</v>
      </c>
      <c r="J62" s="3">
        <v>5000</v>
      </c>
      <c r="K62" s="3">
        <f t="shared" si="4"/>
        <v>2024.2914979757084</v>
      </c>
      <c r="L62" s="3"/>
      <c r="M62" s="5">
        <v>8.5404999999999998</v>
      </c>
      <c r="N62" s="5">
        <f t="shared" si="5"/>
        <v>3.4576923076923074</v>
      </c>
      <c r="O62" s="5">
        <f t="shared" si="6"/>
        <v>3.4161999999999999</v>
      </c>
      <c r="P62" s="8">
        <v>37187</v>
      </c>
      <c r="Q62" s="6">
        <v>25.4</v>
      </c>
      <c r="R62" s="5">
        <v>3.08</v>
      </c>
      <c r="S62" s="6">
        <v>11.6</v>
      </c>
      <c r="T62" s="3"/>
    </row>
    <row r="63" spans="1:20" s="4" customFormat="1" ht="15" customHeight="1" x14ac:dyDescent="0.2">
      <c r="A63" s="4">
        <v>2000</v>
      </c>
      <c r="B63" s="4" t="s">
        <v>91</v>
      </c>
      <c r="C63" s="4">
        <v>5</v>
      </c>
      <c r="D63" s="4">
        <v>1</v>
      </c>
      <c r="E63" s="4" t="s">
        <v>7</v>
      </c>
      <c r="F63" s="4">
        <v>76</v>
      </c>
      <c r="G63" s="4">
        <v>1997</v>
      </c>
      <c r="H63" s="4" t="s">
        <v>14</v>
      </c>
      <c r="I63" s="5">
        <v>2.1800000000000002</v>
      </c>
      <c r="J63" s="3">
        <v>3000</v>
      </c>
      <c r="K63" s="3">
        <f t="shared" si="4"/>
        <v>1376.1467889908256</v>
      </c>
      <c r="L63" s="3">
        <v>140</v>
      </c>
      <c r="M63" s="5">
        <v>9.6159999999999997</v>
      </c>
      <c r="N63" s="5">
        <f t="shared" si="5"/>
        <v>4.4110091743119257</v>
      </c>
      <c r="O63" s="5">
        <f t="shared" si="6"/>
        <v>6.4106666666666667</v>
      </c>
      <c r="P63" s="8">
        <v>37188</v>
      </c>
      <c r="Q63" s="6">
        <v>25</v>
      </c>
      <c r="R63" s="5">
        <v>3.12</v>
      </c>
      <c r="S63" s="6">
        <v>11.4</v>
      </c>
      <c r="T63" s="3"/>
    </row>
    <row r="64" spans="1:20" s="4" customFormat="1" ht="15" customHeight="1" x14ac:dyDescent="0.2">
      <c r="A64" s="4">
        <v>2000</v>
      </c>
      <c r="B64" s="4" t="s">
        <v>91</v>
      </c>
      <c r="C64" s="4">
        <v>5</v>
      </c>
      <c r="D64" s="4">
        <v>2</v>
      </c>
      <c r="E64" s="4" t="s">
        <v>7</v>
      </c>
      <c r="F64" s="4">
        <v>96</v>
      </c>
      <c r="G64" s="4">
        <v>1997</v>
      </c>
      <c r="H64" s="4" t="s">
        <v>14</v>
      </c>
      <c r="I64" s="5">
        <v>2.1800000000000002</v>
      </c>
      <c r="J64" s="3">
        <v>3000</v>
      </c>
      <c r="K64" s="3">
        <f t="shared" si="4"/>
        <v>1376.1467889908256</v>
      </c>
      <c r="L64" s="3">
        <v>147</v>
      </c>
      <c r="M64" s="5">
        <v>11.6965</v>
      </c>
      <c r="N64" s="5">
        <f t="shared" si="5"/>
        <v>5.3653669724770641</v>
      </c>
      <c r="O64" s="5">
        <f t="shared" si="6"/>
        <v>7.7976666666666663</v>
      </c>
      <c r="P64" s="8">
        <v>37189</v>
      </c>
      <c r="Q64" s="6">
        <v>22.8</v>
      </c>
      <c r="R64" s="5">
        <v>3.16</v>
      </c>
      <c r="S64" s="6">
        <v>11.2</v>
      </c>
      <c r="T64" s="3"/>
    </row>
    <row r="65" spans="1:20" s="4" customFormat="1" ht="15" customHeight="1" x14ac:dyDescent="0.2">
      <c r="A65" s="4">
        <v>2000</v>
      </c>
      <c r="B65" s="4" t="s">
        <v>91</v>
      </c>
      <c r="C65" s="4">
        <v>5</v>
      </c>
      <c r="D65" s="4">
        <v>3</v>
      </c>
      <c r="E65" s="4" t="s">
        <v>7</v>
      </c>
      <c r="F65" s="4">
        <v>277</v>
      </c>
      <c r="G65" s="4">
        <v>1997</v>
      </c>
      <c r="H65" s="4" t="s">
        <v>14</v>
      </c>
      <c r="I65" s="5">
        <v>2.1800000000000002</v>
      </c>
      <c r="J65" s="3">
        <v>3000</v>
      </c>
      <c r="K65" s="3">
        <f t="shared" si="4"/>
        <v>1376.1467889908256</v>
      </c>
      <c r="L65" s="3">
        <v>177</v>
      </c>
      <c r="M65" s="5">
        <v>9.3339999999999996</v>
      </c>
      <c r="N65" s="5">
        <f t="shared" si="5"/>
        <v>4.2816513761467885</v>
      </c>
      <c r="O65" s="5">
        <f t="shared" si="6"/>
        <v>6.222666666666667</v>
      </c>
      <c r="P65" s="8">
        <v>37189</v>
      </c>
      <c r="Q65" s="6">
        <v>24.2</v>
      </c>
      <c r="R65" s="5">
        <v>3.16</v>
      </c>
      <c r="S65" s="6">
        <v>11.2</v>
      </c>
      <c r="T65" s="3"/>
    </row>
    <row r="66" spans="1:20" s="4" customFormat="1" ht="15" customHeight="1" x14ac:dyDescent="0.2">
      <c r="A66" s="4">
        <v>2000</v>
      </c>
      <c r="B66" s="4" t="s">
        <v>91</v>
      </c>
      <c r="C66" s="4">
        <v>5</v>
      </c>
      <c r="D66" s="4">
        <v>4</v>
      </c>
      <c r="E66" s="4" t="s">
        <v>7</v>
      </c>
      <c r="F66" s="4">
        <v>809</v>
      </c>
      <c r="G66" s="4">
        <v>1997</v>
      </c>
      <c r="H66" s="4" t="s">
        <v>14</v>
      </c>
      <c r="I66" s="5">
        <v>0.73</v>
      </c>
      <c r="J66" s="3">
        <v>1000</v>
      </c>
      <c r="K66" s="3">
        <f t="shared" si="4"/>
        <v>1369.8630136986301</v>
      </c>
      <c r="L66" s="3">
        <v>112</v>
      </c>
      <c r="M66" s="5">
        <v>2.9664999999999999</v>
      </c>
      <c r="N66" s="5">
        <f t="shared" si="5"/>
        <v>4.0636986301369866</v>
      </c>
      <c r="O66" s="5">
        <f t="shared" si="6"/>
        <v>5.9329999999999998</v>
      </c>
      <c r="P66" s="8">
        <v>37190</v>
      </c>
      <c r="Q66" s="6"/>
      <c r="R66" s="5"/>
      <c r="S66" s="6"/>
      <c r="T66" s="3"/>
    </row>
    <row r="67" spans="1:20" s="4" customFormat="1" ht="15" customHeight="1" x14ac:dyDescent="0.2">
      <c r="A67" s="4">
        <v>2001</v>
      </c>
      <c r="B67" s="4" t="s">
        <v>91</v>
      </c>
      <c r="C67" s="4">
        <v>1</v>
      </c>
      <c r="D67" s="4">
        <v>2</v>
      </c>
      <c r="E67" s="4" t="s">
        <v>7</v>
      </c>
      <c r="F67" s="4">
        <v>548</v>
      </c>
      <c r="G67" s="4">
        <v>1996</v>
      </c>
      <c r="H67" s="4" t="s">
        <v>8</v>
      </c>
      <c r="I67" s="5">
        <v>1.98</v>
      </c>
      <c r="J67" s="3">
        <v>4000</v>
      </c>
      <c r="K67" s="3">
        <f t="shared" si="4"/>
        <v>2020.2020202020203</v>
      </c>
      <c r="L67" s="3">
        <v>185</v>
      </c>
      <c r="M67" s="5">
        <v>11.378500000000001</v>
      </c>
      <c r="N67" s="5">
        <f t="shared" si="5"/>
        <v>5.7467171717171723</v>
      </c>
      <c r="O67" s="5">
        <f t="shared" si="6"/>
        <v>5.6892500000000004</v>
      </c>
      <c r="P67" s="8">
        <v>37183</v>
      </c>
      <c r="Q67" s="6">
        <v>23.8</v>
      </c>
      <c r="R67" s="5">
        <v>3.13</v>
      </c>
      <c r="S67" s="6">
        <v>11.7</v>
      </c>
      <c r="T67" s="3"/>
    </row>
    <row r="68" spans="1:20" s="4" customFormat="1" ht="15" customHeight="1" x14ac:dyDescent="0.2">
      <c r="A68" s="4">
        <v>2001</v>
      </c>
      <c r="B68" s="4" t="s">
        <v>91</v>
      </c>
      <c r="C68" s="4">
        <v>2</v>
      </c>
      <c r="D68" s="4">
        <v>4</v>
      </c>
      <c r="E68" s="4" t="s">
        <v>7</v>
      </c>
      <c r="F68" s="4" t="s">
        <v>9</v>
      </c>
      <c r="G68" s="4">
        <v>1987</v>
      </c>
      <c r="H68" s="4" t="s">
        <v>10</v>
      </c>
      <c r="I68" s="5">
        <v>1.42</v>
      </c>
      <c r="J68" s="3">
        <v>1532</v>
      </c>
      <c r="K68" s="3">
        <f t="shared" si="4"/>
        <v>1078.8732394366198</v>
      </c>
      <c r="L68" s="3">
        <v>174</v>
      </c>
      <c r="M68" s="5">
        <v>8.4405000000000001</v>
      </c>
      <c r="N68" s="5">
        <f t="shared" si="5"/>
        <v>5.9440140845070424</v>
      </c>
      <c r="O68" s="5">
        <f t="shared" si="6"/>
        <v>11.01892950391645</v>
      </c>
      <c r="P68" s="8">
        <v>37188</v>
      </c>
      <c r="Q68" s="6">
        <v>22.1</v>
      </c>
      <c r="R68" s="5">
        <v>3.03</v>
      </c>
      <c r="S68" s="6">
        <v>10.199999999999999</v>
      </c>
      <c r="T68" s="3"/>
    </row>
    <row r="69" spans="1:20" s="4" customFormat="1" ht="15" customHeight="1" x14ac:dyDescent="0.2">
      <c r="A69" s="4">
        <v>2001</v>
      </c>
      <c r="B69" s="4" t="s">
        <v>91</v>
      </c>
      <c r="C69" s="4">
        <v>2</v>
      </c>
      <c r="D69" s="4">
        <v>5</v>
      </c>
      <c r="E69" s="4" t="s">
        <v>7</v>
      </c>
      <c r="F69" s="4" t="s">
        <v>11</v>
      </c>
      <c r="G69" s="4">
        <v>1993</v>
      </c>
      <c r="H69" s="4" t="s">
        <v>12</v>
      </c>
      <c r="I69" s="5">
        <v>0.48</v>
      </c>
      <c r="J69" s="3">
        <v>800</v>
      </c>
      <c r="K69" s="3">
        <f t="shared" si="4"/>
        <v>1666.6666666666667</v>
      </c>
      <c r="L69" s="3">
        <v>174</v>
      </c>
      <c r="M69" s="5">
        <v>4.0545</v>
      </c>
      <c r="N69" s="5">
        <f t="shared" si="5"/>
        <v>8.4468750000000004</v>
      </c>
      <c r="O69" s="5">
        <f t="shared" si="6"/>
        <v>10.13625</v>
      </c>
      <c r="P69" s="8">
        <v>37188</v>
      </c>
      <c r="Q69" s="6">
        <v>22.2</v>
      </c>
      <c r="R69" s="5">
        <v>3.06</v>
      </c>
      <c r="S69" s="6">
        <v>11</v>
      </c>
      <c r="T69" s="3"/>
    </row>
    <row r="70" spans="1:20" s="4" customFormat="1" ht="15" customHeight="1" x14ac:dyDescent="0.2">
      <c r="A70" s="4">
        <v>2001</v>
      </c>
      <c r="B70" s="4" t="s">
        <v>91</v>
      </c>
      <c r="C70" s="4">
        <v>3</v>
      </c>
      <c r="D70" s="4">
        <v>4</v>
      </c>
      <c r="E70" s="4" t="s">
        <v>7</v>
      </c>
      <c r="F70" s="4">
        <v>95</v>
      </c>
      <c r="G70" s="4">
        <v>1996</v>
      </c>
      <c r="H70" s="4" t="s">
        <v>13</v>
      </c>
      <c r="I70" s="5">
        <v>2.4700000000000002</v>
      </c>
      <c r="J70" s="3">
        <v>5000</v>
      </c>
      <c r="K70" s="3">
        <f t="shared" si="4"/>
        <v>2024.2914979757084</v>
      </c>
      <c r="L70" s="3">
        <v>144</v>
      </c>
      <c r="M70" s="5">
        <v>13.7675</v>
      </c>
      <c r="N70" s="5">
        <f t="shared" si="5"/>
        <v>5.5738866396761129</v>
      </c>
      <c r="O70" s="5">
        <f t="shared" si="6"/>
        <v>5.5069999999999997</v>
      </c>
      <c r="P70" s="8">
        <v>37179</v>
      </c>
      <c r="Q70" s="6">
        <v>23.2</v>
      </c>
      <c r="R70" s="5">
        <v>3.25</v>
      </c>
      <c r="S70" s="6">
        <v>8.9</v>
      </c>
      <c r="T70" s="3"/>
    </row>
    <row r="71" spans="1:20" s="4" customFormat="1" ht="15" customHeight="1" x14ac:dyDescent="0.2">
      <c r="A71" s="4">
        <v>2001</v>
      </c>
      <c r="B71" s="4" t="s">
        <v>91</v>
      </c>
      <c r="C71" s="4">
        <v>5</v>
      </c>
      <c r="D71" s="4">
        <v>1</v>
      </c>
      <c r="E71" s="4" t="s">
        <v>7</v>
      </c>
      <c r="F71" s="4">
        <v>76</v>
      </c>
      <c r="G71" s="4">
        <v>1997</v>
      </c>
      <c r="H71" s="4" t="s">
        <v>14</v>
      </c>
      <c r="I71" s="5">
        <v>2.1800000000000002</v>
      </c>
      <c r="J71" s="3">
        <v>3000</v>
      </c>
      <c r="K71" s="3">
        <f t="shared" si="4"/>
        <v>1376.1467889908256</v>
      </c>
      <c r="L71" s="3">
        <v>157</v>
      </c>
      <c r="M71" s="5">
        <v>9.8789999999999996</v>
      </c>
      <c r="N71" s="5">
        <f t="shared" si="5"/>
        <v>4.5316513761467885</v>
      </c>
      <c r="O71" s="5">
        <f t="shared" si="6"/>
        <v>6.5860000000000003</v>
      </c>
      <c r="P71" s="8">
        <v>37182</v>
      </c>
      <c r="Q71" s="6">
        <v>23.1</v>
      </c>
      <c r="R71" s="5">
        <v>3.1</v>
      </c>
      <c r="S71" s="6">
        <v>9.4</v>
      </c>
      <c r="T71" s="3"/>
    </row>
    <row r="72" spans="1:20" s="4" customFormat="1" ht="15" customHeight="1" x14ac:dyDescent="0.2">
      <c r="A72" s="4">
        <v>2001</v>
      </c>
      <c r="B72" s="4" t="s">
        <v>91</v>
      </c>
      <c r="C72" s="4">
        <v>5</v>
      </c>
      <c r="D72" s="4">
        <v>2</v>
      </c>
      <c r="E72" s="4" t="s">
        <v>7</v>
      </c>
      <c r="F72" s="4">
        <v>96</v>
      </c>
      <c r="G72" s="4">
        <v>1997</v>
      </c>
      <c r="H72" s="4" t="s">
        <v>14</v>
      </c>
      <c r="I72" s="5">
        <v>2.1800000000000002</v>
      </c>
      <c r="J72" s="3">
        <v>3000</v>
      </c>
      <c r="K72" s="3">
        <f t="shared" si="4"/>
        <v>1376.1467889908256</v>
      </c>
      <c r="L72" s="3">
        <v>167</v>
      </c>
      <c r="M72" s="5">
        <v>10.526999999999999</v>
      </c>
      <c r="N72" s="5">
        <f t="shared" si="5"/>
        <v>4.8288990825688067</v>
      </c>
      <c r="O72" s="5">
        <f t="shared" si="6"/>
        <v>7.0179999999999998</v>
      </c>
      <c r="P72" s="8">
        <v>37182</v>
      </c>
      <c r="Q72" s="6">
        <v>22</v>
      </c>
      <c r="R72" s="5">
        <v>3.12</v>
      </c>
      <c r="S72" s="6">
        <v>9.1999999999999993</v>
      </c>
      <c r="T72" s="3"/>
    </row>
    <row r="73" spans="1:20" s="4" customFormat="1" ht="15" customHeight="1" x14ac:dyDescent="0.2">
      <c r="A73" s="4">
        <v>2001</v>
      </c>
      <c r="B73" s="4" t="s">
        <v>91</v>
      </c>
      <c r="C73" s="4">
        <v>5</v>
      </c>
      <c r="D73" s="4">
        <v>3</v>
      </c>
      <c r="E73" s="4" t="s">
        <v>7</v>
      </c>
      <c r="F73" s="4">
        <v>277</v>
      </c>
      <c r="G73" s="4">
        <v>1997</v>
      </c>
      <c r="H73" s="4" t="s">
        <v>14</v>
      </c>
      <c r="I73" s="5">
        <v>2.1800000000000002</v>
      </c>
      <c r="J73" s="3">
        <v>3000</v>
      </c>
      <c r="K73" s="3">
        <f t="shared" si="4"/>
        <v>1376.1467889908256</v>
      </c>
      <c r="L73" s="3">
        <v>144</v>
      </c>
      <c r="M73" s="5">
        <v>9.7509999999999994</v>
      </c>
      <c r="N73" s="5">
        <f t="shared" si="5"/>
        <v>4.4729357798165132</v>
      </c>
      <c r="O73" s="5">
        <f t="shared" si="6"/>
        <v>6.5006666666666666</v>
      </c>
      <c r="P73" s="8">
        <v>37182</v>
      </c>
      <c r="Q73" s="6">
        <v>22.6</v>
      </c>
      <c r="R73" s="5">
        <v>3.11</v>
      </c>
      <c r="S73" s="6">
        <v>9</v>
      </c>
      <c r="T73" s="3"/>
    </row>
    <row r="74" spans="1:20" s="4" customFormat="1" ht="15" customHeight="1" x14ac:dyDescent="0.2">
      <c r="A74" s="4">
        <v>2001</v>
      </c>
      <c r="B74" s="4" t="s">
        <v>91</v>
      </c>
      <c r="C74" s="4">
        <v>5</v>
      </c>
      <c r="D74" s="4">
        <v>4</v>
      </c>
      <c r="E74" s="4" t="s">
        <v>7</v>
      </c>
      <c r="F74" s="4">
        <v>809</v>
      </c>
      <c r="G74" s="4">
        <v>1997</v>
      </c>
      <c r="H74" s="4" t="s">
        <v>14</v>
      </c>
      <c r="I74" s="5">
        <v>0.73</v>
      </c>
      <c r="J74" s="3">
        <v>1000</v>
      </c>
      <c r="K74" s="3">
        <f t="shared" si="4"/>
        <v>1369.8630136986301</v>
      </c>
      <c r="L74" s="3">
        <v>161</v>
      </c>
      <c r="M74" s="5">
        <v>2.6315</v>
      </c>
      <c r="N74" s="5">
        <f t="shared" si="5"/>
        <v>3.6047945205479452</v>
      </c>
      <c r="O74" s="5">
        <f t="shared" si="6"/>
        <v>5.2629999999999999</v>
      </c>
      <c r="P74" s="8">
        <v>37182</v>
      </c>
      <c r="Q74" s="6">
        <v>23.6</v>
      </c>
      <c r="R74" s="5">
        <v>3.22</v>
      </c>
      <c r="S74" s="6">
        <v>9.4</v>
      </c>
      <c r="T74" s="3"/>
    </row>
    <row r="75" spans="1:20" s="4" customFormat="1" ht="15" customHeight="1" x14ac:dyDescent="0.2">
      <c r="A75" s="4">
        <v>2002</v>
      </c>
      <c r="B75" s="4" t="s">
        <v>91</v>
      </c>
      <c r="C75" s="4">
        <v>1</v>
      </c>
      <c r="D75" s="4">
        <v>2</v>
      </c>
      <c r="E75" s="4" t="s">
        <v>7</v>
      </c>
      <c r="F75" s="4">
        <v>548</v>
      </c>
      <c r="G75" s="4">
        <v>1996</v>
      </c>
      <c r="H75" s="4" t="s">
        <v>8</v>
      </c>
      <c r="I75" s="5">
        <v>1.98</v>
      </c>
      <c r="J75" s="3">
        <v>4000</v>
      </c>
      <c r="K75" s="3">
        <f t="shared" si="4"/>
        <v>2020.2020202020203</v>
      </c>
      <c r="L75" s="3">
        <v>145</v>
      </c>
      <c r="M75" s="5">
        <v>8.82</v>
      </c>
      <c r="N75" s="5">
        <f t="shared" si="5"/>
        <v>4.454545454545455</v>
      </c>
      <c r="O75" s="5">
        <f t="shared" si="6"/>
        <v>4.41</v>
      </c>
      <c r="P75" s="8">
        <v>37530</v>
      </c>
      <c r="Q75" s="6">
        <v>24.8</v>
      </c>
      <c r="R75" s="5">
        <v>3.31</v>
      </c>
      <c r="S75" s="6">
        <v>8.6</v>
      </c>
      <c r="T75" s="3"/>
    </row>
    <row r="76" spans="1:20" s="4" customFormat="1" ht="15" customHeight="1" x14ac:dyDescent="0.2">
      <c r="A76" s="4">
        <v>2002</v>
      </c>
      <c r="B76" s="4" t="s">
        <v>91</v>
      </c>
      <c r="C76" s="4">
        <v>2</v>
      </c>
      <c r="D76" s="4">
        <v>4</v>
      </c>
      <c r="E76" s="4" t="s">
        <v>7</v>
      </c>
      <c r="F76" s="4" t="s">
        <v>9</v>
      </c>
      <c r="G76" s="4">
        <v>1987</v>
      </c>
      <c r="H76" s="4" t="s">
        <v>10</v>
      </c>
      <c r="I76" s="5">
        <v>1.42</v>
      </c>
      <c r="J76" s="3">
        <v>1532</v>
      </c>
      <c r="K76" s="3">
        <f t="shared" si="4"/>
        <v>1078.8732394366198</v>
      </c>
      <c r="L76" s="3">
        <v>149</v>
      </c>
      <c r="M76" s="5">
        <v>12</v>
      </c>
      <c r="N76" s="5">
        <f t="shared" si="5"/>
        <v>8.4507042253521139</v>
      </c>
      <c r="O76" s="5">
        <f t="shared" si="6"/>
        <v>15.66579634464752</v>
      </c>
      <c r="P76" s="8">
        <v>37913</v>
      </c>
      <c r="Q76" s="6">
        <v>23.6</v>
      </c>
      <c r="R76" s="5">
        <v>3.24</v>
      </c>
      <c r="S76" s="6">
        <v>8.6</v>
      </c>
      <c r="T76" s="3"/>
    </row>
    <row r="77" spans="1:20" s="4" customFormat="1" ht="15" customHeight="1" x14ac:dyDescent="0.2">
      <c r="A77" s="4">
        <v>2002</v>
      </c>
      <c r="B77" s="4" t="s">
        <v>91</v>
      </c>
      <c r="C77" s="4">
        <v>2</v>
      </c>
      <c r="D77" s="4">
        <v>5</v>
      </c>
      <c r="E77" s="4" t="s">
        <v>7</v>
      </c>
      <c r="F77" s="4" t="s">
        <v>11</v>
      </c>
      <c r="G77" s="4">
        <v>1993</v>
      </c>
      <c r="H77" s="4" t="s">
        <v>12</v>
      </c>
      <c r="I77" s="5">
        <v>0.48</v>
      </c>
      <c r="J77" s="3">
        <v>800</v>
      </c>
      <c r="K77" s="3">
        <f t="shared" si="4"/>
        <v>1666.6666666666667</v>
      </c>
      <c r="L77" s="3">
        <v>149</v>
      </c>
      <c r="M77" s="5">
        <v>3.95</v>
      </c>
      <c r="N77" s="5">
        <f t="shared" si="5"/>
        <v>8.2291666666666679</v>
      </c>
      <c r="O77" s="5">
        <f t="shared" si="6"/>
        <v>9.875</v>
      </c>
      <c r="P77" s="8">
        <v>37913</v>
      </c>
      <c r="Q77" s="6">
        <v>23.6</v>
      </c>
      <c r="R77" s="5">
        <v>3.24</v>
      </c>
      <c r="S77" s="6">
        <v>8.6</v>
      </c>
      <c r="T77" s="3"/>
    </row>
    <row r="78" spans="1:20" s="4" customFormat="1" ht="15" customHeight="1" x14ac:dyDescent="0.2">
      <c r="A78" s="4">
        <v>2002</v>
      </c>
      <c r="B78" s="4" t="s">
        <v>91</v>
      </c>
      <c r="C78" s="4">
        <v>3</v>
      </c>
      <c r="D78" s="4">
        <v>4</v>
      </c>
      <c r="E78" s="4" t="s">
        <v>7</v>
      </c>
      <c r="F78" s="4">
        <v>95</v>
      </c>
      <c r="G78" s="4">
        <v>1996</v>
      </c>
      <c r="H78" s="4" t="s">
        <v>13</v>
      </c>
      <c r="I78" s="5">
        <v>2.4700000000000002</v>
      </c>
      <c r="J78" s="3">
        <v>5000</v>
      </c>
      <c r="K78" s="3">
        <f t="shared" si="4"/>
        <v>2024.2914979757084</v>
      </c>
      <c r="L78" s="3">
        <v>152</v>
      </c>
      <c r="M78" s="5">
        <v>12.75</v>
      </c>
      <c r="N78" s="5">
        <f t="shared" si="5"/>
        <v>5.1619433198380564</v>
      </c>
      <c r="O78" s="5">
        <f t="shared" si="6"/>
        <v>5.0999999999999996</v>
      </c>
      <c r="P78" s="8">
        <v>37530</v>
      </c>
      <c r="Q78" s="6">
        <v>24</v>
      </c>
      <c r="R78" s="5">
        <v>3.3</v>
      </c>
      <c r="S78" s="6">
        <v>7.1</v>
      </c>
      <c r="T78" s="3"/>
    </row>
    <row r="79" spans="1:20" s="4" customFormat="1" ht="15" customHeight="1" x14ac:dyDescent="0.2">
      <c r="A79" s="4">
        <v>2002</v>
      </c>
      <c r="B79" s="4" t="s">
        <v>91</v>
      </c>
      <c r="C79" s="4">
        <v>5</v>
      </c>
      <c r="D79" s="4">
        <v>1</v>
      </c>
      <c r="E79" s="4" t="s">
        <v>7</v>
      </c>
      <c r="F79" s="4">
        <v>76</v>
      </c>
      <c r="G79" s="4">
        <v>1997</v>
      </c>
      <c r="H79" s="4" t="s">
        <v>14</v>
      </c>
      <c r="I79" s="5">
        <v>2.1800000000000002</v>
      </c>
      <c r="J79" s="3">
        <v>3000</v>
      </c>
      <c r="K79" s="3">
        <f t="shared" si="4"/>
        <v>1376.1467889908256</v>
      </c>
      <c r="L79" s="3">
        <v>175</v>
      </c>
      <c r="M79" s="5">
        <v>11.53</v>
      </c>
      <c r="N79" s="5">
        <f t="shared" si="5"/>
        <v>5.2889908256880727</v>
      </c>
      <c r="O79" s="5">
        <f t="shared" si="6"/>
        <v>7.6866666666666665</v>
      </c>
      <c r="P79" s="8">
        <v>37896</v>
      </c>
      <c r="Q79" s="6">
        <v>23.8</v>
      </c>
      <c r="R79" s="5">
        <v>3.25</v>
      </c>
      <c r="S79" s="6">
        <v>8</v>
      </c>
      <c r="T79" s="3"/>
    </row>
    <row r="80" spans="1:20" s="4" customFormat="1" ht="15" customHeight="1" x14ac:dyDescent="0.2">
      <c r="A80" s="4">
        <v>2002</v>
      </c>
      <c r="B80" s="4" t="s">
        <v>91</v>
      </c>
      <c r="C80" s="4">
        <v>5</v>
      </c>
      <c r="D80" s="4">
        <v>2</v>
      </c>
      <c r="E80" s="4" t="s">
        <v>7</v>
      </c>
      <c r="F80" s="4">
        <v>96</v>
      </c>
      <c r="G80" s="4">
        <v>1997</v>
      </c>
      <c r="H80" s="4" t="s">
        <v>14</v>
      </c>
      <c r="I80" s="5">
        <v>2.1800000000000002</v>
      </c>
      <c r="J80" s="3">
        <v>3000</v>
      </c>
      <c r="K80" s="3">
        <f t="shared" si="4"/>
        <v>1376.1467889908256</v>
      </c>
      <c r="L80" s="3">
        <v>195</v>
      </c>
      <c r="M80" s="5">
        <v>10.01</v>
      </c>
      <c r="N80" s="5">
        <f t="shared" si="5"/>
        <v>4.5917431192660549</v>
      </c>
      <c r="O80" s="5">
        <f t="shared" si="6"/>
        <v>6.6733333333333329</v>
      </c>
      <c r="P80" s="8">
        <v>37905</v>
      </c>
      <c r="Q80" s="6">
        <v>24</v>
      </c>
      <c r="R80" s="5">
        <v>3.24</v>
      </c>
      <c r="S80" s="6">
        <v>7.5</v>
      </c>
      <c r="T80" s="3"/>
    </row>
    <row r="81" spans="1:20" s="4" customFormat="1" ht="15" customHeight="1" x14ac:dyDescent="0.2">
      <c r="A81" s="4">
        <v>2002</v>
      </c>
      <c r="B81" s="4" t="s">
        <v>91</v>
      </c>
      <c r="C81" s="4">
        <v>5</v>
      </c>
      <c r="D81" s="4">
        <v>3</v>
      </c>
      <c r="E81" s="4" t="s">
        <v>7</v>
      </c>
      <c r="F81" s="4">
        <v>277</v>
      </c>
      <c r="G81" s="4">
        <v>1997</v>
      </c>
      <c r="H81" s="4" t="s">
        <v>14</v>
      </c>
      <c r="I81" s="5">
        <v>2.1800000000000002</v>
      </c>
      <c r="J81" s="3">
        <v>3000</v>
      </c>
      <c r="K81" s="3">
        <f t="shared" si="4"/>
        <v>1376.1467889908256</v>
      </c>
      <c r="L81" s="3">
        <v>172</v>
      </c>
      <c r="M81" s="5">
        <v>7.66</v>
      </c>
      <c r="N81" s="5">
        <f t="shared" si="5"/>
        <v>3.5137614678899083</v>
      </c>
      <c r="O81" s="5">
        <f t="shared" si="6"/>
        <v>5.1066666666666665</v>
      </c>
      <c r="P81" s="8">
        <v>37897</v>
      </c>
      <c r="Q81" s="6">
        <v>23.4</v>
      </c>
      <c r="R81" s="5">
        <v>3.18</v>
      </c>
      <c r="S81" s="6">
        <v>8.1999999999999993</v>
      </c>
      <c r="T81" s="3"/>
    </row>
    <row r="82" spans="1:20" s="4" customFormat="1" ht="15" customHeight="1" x14ac:dyDescent="0.2">
      <c r="A82" s="4">
        <v>2002</v>
      </c>
      <c r="B82" s="4" t="s">
        <v>91</v>
      </c>
      <c r="C82" s="4">
        <v>5</v>
      </c>
      <c r="D82" s="4">
        <v>4</v>
      </c>
      <c r="E82" s="4" t="s">
        <v>7</v>
      </c>
      <c r="F82" s="4">
        <v>809</v>
      </c>
      <c r="G82" s="4">
        <v>1997</v>
      </c>
      <c r="H82" s="4" t="s">
        <v>14</v>
      </c>
      <c r="I82" s="5">
        <v>0.73</v>
      </c>
      <c r="J82" s="3">
        <v>1000</v>
      </c>
      <c r="K82" s="3">
        <f t="shared" si="4"/>
        <v>1369.8630136986301</v>
      </c>
      <c r="L82" s="3">
        <v>170</v>
      </c>
      <c r="M82" s="5">
        <v>4.88</v>
      </c>
      <c r="N82" s="5">
        <f t="shared" si="5"/>
        <v>6.6849315068493151</v>
      </c>
      <c r="O82" s="5">
        <f t="shared" si="6"/>
        <v>9.76</v>
      </c>
      <c r="P82" s="8">
        <v>37897</v>
      </c>
      <c r="Q82" s="6">
        <v>23.4</v>
      </c>
      <c r="R82" s="5">
        <v>3.3</v>
      </c>
      <c r="S82" s="6">
        <v>7</v>
      </c>
      <c r="T82" s="3"/>
    </row>
    <row r="83" spans="1:20" s="4" customFormat="1" ht="15" customHeight="1" x14ac:dyDescent="0.2">
      <c r="A83" s="4">
        <v>2003</v>
      </c>
      <c r="B83" s="4" t="s">
        <v>91</v>
      </c>
      <c r="C83" s="4">
        <v>1</v>
      </c>
      <c r="D83" s="4">
        <v>2</v>
      </c>
      <c r="E83" s="4" t="s">
        <v>7</v>
      </c>
      <c r="F83" s="4">
        <v>548</v>
      </c>
      <c r="G83" s="4">
        <v>1996</v>
      </c>
      <c r="H83" s="4" t="s">
        <v>8</v>
      </c>
      <c r="I83" s="5">
        <v>1.98</v>
      </c>
      <c r="J83" s="3">
        <v>4000</v>
      </c>
      <c r="K83" s="3">
        <f t="shared" si="4"/>
        <v>2020.2020202020203</v>
      </c>
      <c r="L83" s="3">
        <v>145</v>
      </c>
      <c r="M83" s="5">
        <v>6.9</v>
      </c>
      <c r="N83" s="5">
        <f t="shared" si="5"/>
        <v>3.4848484848484849</v>
      </c>
      <c r="O83" s="5">
        <f t="shared" si="6"/>
        <v>3.45</v>
      </c>
      <c r="P83" s="8">
        <v>37894</v>
      </c>
      <c r="Q83" s="6">
        <v>25.2</v>
      </c>
      <c r="R83" s="5">
        <v>3.44</v>
      </c>
      <c r="S83" s="6">
        <v>6.3</v>
      </c>
      <c r="T83" s="3"/>
    </row>
    <row r="84" spans="1:20" s="4" customFormat="1" ht="15" customHeight="1" x14ac:dyDescent="0.2">
      <c r="A84" s="4">
        <v>2003</v>
      </c>
      <c r="B84" s="4" t="s">
        <v>91</v>
      </c>
      <c r="C84" s="4">
        <v>2</v>
      </c>
      <c r="D84" s="4">
        <v>4</v>
      </c>
      <c r="E84" s="4" t="s">
        <v>7</v>
      </c>
      <c r="F84" s="4" t="s">
        <v>9</v>
      </c>
      <c r="G84" s="4">
        <v>1987</v>
      </c>
      <c r="H84" s="4" t="s">
        <v>10</v>
      </c>
      <c r="I84" s="5">
        <v>1.42</v>
      </c>
      <c r="J84" s="3">
        <v>1532</v>
      </c>
      <c r="K84" s="3">
        <f t="shared" si="4"/>
        <v>1078.8732394366198</v>
      </c>
      <c r="L84" s="3">
        <v>292</v>
      </c>
      <c r="M84" s="5">
        <v>12.3</v>
      </c>
      <c r="N84" s="5">
        <f t="shared" si="5"/>
        <v>8.6619718309859159</v>
      </c>
      <c r="O84" s="5">
        <f t="shared" si="6"/>
        <v>16.057441253263708</v>
      </c>
      <c r="P84" s="8">
        <v>37915</v>
      </c>
      <c r="Q84" s="6">
        <v>22</v>
      </c>
      <c r="R84" s="5">
        <v>3.32</v>
      </c>
      <c r="S84" s="6">
        <v>8.5</v>
      </c>
      <c r="T84" s="3"/>
    </row>
    <row r="85" spans="1:20" s="4" customFormat="1" ht="15" customHeight="1" x14ac:dyDescent="0.2">
      <c r="A85" s="4">
        <v>2003</v>
      </c>
      <c r="B85" s="4" t="s">
        <v>91</v>
      </c>
      <c r="C85" s="4">
        <v>2</v>
      </c>
      <c r="D85" s="4">
        <v>5</v>
      </c>
      <c r="E85" s="4" t="s">
        <v>7</v>
      </c>
      <c r="F85" s="4" t="s">
        <v>11</v>
      </c>
      <c r="G85" s="4">
        <v>1993</v>
      </c>
      <c r="H85" s="4" t="s">
        <v>12</v>
      </c>
      <c r="I85" s="5">
        <v>0.48</v>
      </c>
      <c r="J85" s="3">
        <v>800</v>
      </c>
      <c r="K85" s="3">
        <f t="shared" si="4"/>
        <v>1666.6666666666667</v>
      </c>
      <c r="L85" s="3">
        <v>286</v>
      </c>
      <c r="M85" s="5">
        <v>4.3</v>
      </c>
      <c r="N85" s="5">
        <f t="shared" si="5"/>
        <v>8.9583333333333339</v>
      </c>
      <c r="O85" s="5">
        <f t="shared" si="6"/>
        <v>10.75</v>
      </c>
      <c r="P85" s="8">
        <v>37915</v>
      </c>
      <c r="Q85" s="6">
        <v>22</v>
      </c>
      <c r="R85" s="5">
        <v>3.32</v>
      </c>
      <c r="S85" s="6">
        <v>8.5</v>
      </c>
      <c r="T85" s="3"/>
    </row>
    <row r="86" spans="1:20" s="4" customFormat="1" ht="15" customHeight="1" x14ac:dyDescent="0.2">
      <c r="A86" s="4">
        <v>2003</v>
      </c>
      <c r="B86" s="4" t="s">
        <v>91</v>
      </c>
      <c r="C86" s="4">
        <v>3</v>
      </c>
      <c r="D86" s="4">
        <v>4</v>
      </c>
      <c r="E86" s="4" t="s">
        <v>7</v>
      </c>
      <c r="F86" s="4">
        <v>95</v>
      </c>
      <c r="G86" s="4">
        <v>1996</v>
      </c>
      <c r="H86" s="4" t="s">
        <v>13</v>
      </c>
      <c r="I86" s="5">
        <v>2.4700000000000002</v>
      </c>
      <c r="J86" s="3">
        <v>5000</v>
      </c>
      <c r="K86" s="3">
        <f t="shared" si="4"/>
        <v>2024.2914979757084</v>
      </c>
      <c r="L86" s="3">
        <v>143</v>
      </c>
      <c r="M86" s="5">
        <v>10.8</v>
      </c>
      <c r="N86" s="5">
        <f t="shared" si="5"/>
        <v>4.3724696356275299</v>
      </c>
      <c r="O86" s="5">
        <f t="shared" si="6"/>
        <v>4.32</v>
      </c>
      <c r="P86" s="8">
        <v>37890</v>
      </c>
      <c r="Q86" s="6">
        <v>24.8</v>
      </c>
      <c r="R86" s="5">
        <v>3.45</v>
      </c>
      <c r="S86" s="6">
        <v>7.4</v>
      </c>
      <c r="T86" s="3"/>
    </row>
    <row r="87" spans="1:20" s="4" customFormat="1" ht="15" customHeight="1" x14ac:dyDescent="0.2">
      <c r="A87" s="4">
        <v>2003</v>
      </c>
      <c r="B87" s="4" t="s">
        <v>91</v>
      </c>
      <c r="C87" s="4">
        <v>5</v>
      </c>
      <c r="D87" s="4">
        <v>1</v>
      </c>
      <c r="E87" s="4" t="s">
        <v>7</v>
      </c>
      <c r="F87" s="4">
        <v>76</v>
      </c>
      <c r="G87" s="4">
        <v>1997</v>
      </c>
      <c r="H87" s="4" t="s">
        <v>14</v>
      </c>
      <c r="I87" s="5">
        <v>2.1800000000000002</v>
      </c>
      <c r="J87" s="3">
        <v>3000</v>
      </c>
      <c r="K87" s="3">
        <f t="shared" si="4"/>
        <v>1376.1467889908256</v>
      </c>
      <c r="L87" s="3">
        <v>195</v>
      </c>
      <c r="M87" s="5">
        <v>8.5</v>
      </c>
      <c r="N87" s="5">
        <f t="shared" si="5"/>
        <v>3.8990825688073389</v>
      </c>
      <c r="O87" s="5">
        <f t="shared" si="6"/>
        <v>5.666666666666667</v>
      </c>
      <c r="P87" s="8">
        <v>37893</v>
      </c>
      <c r="Q87" s="6">
        <v>24.6</v>
      </c>
      <c r="R87" s="5">
        <v>3.44</v>
      </c>
      <c r="S87" s="6">
        <v>6.4</v>
      </c>
      <c r="T87" s="3"/>
    </row>
    <row r="88" spans="1:20" s="4" customFormat="1" ht="15" customHeight="1" x14ac:dyDescent="0.2">
      <c r="A88" s="4">
        <v>2003</v>
      </c>
      <c r="B88" s="4" t="s">
        <v>91</v>
      </c>
      <c r="C88" s="4">
        <v>5</v>
      </c>
      <c r="D88" s="4">
        <v>2</v>
      </c>
      <c r="E88" s="4" t="s">
        <v>7</v>
      </c>
      <c r="F88" s="4">
        <v>96</v>
      </c>
      <c r="G88" s="4">
        <v>1997</v>
      </c>
      <c r="H88" s="4" t="s">
        <v>14</v>
      </c>
      <c r="I88" s="5">
        <v>2.1800000000000002</v>
      </c>
      <c r="J88" s="3">
        <v>3000</v>
      </c>
      <c r="K88" s="3">
        <f t="shared" si="4"/>
        <v>1376.1467889908256</v>
      </c>
      <c r="L88" s="3">
        <v>235</v>
      </c>
      <c r="M88" s="5">
        <v>8</v>
      </c>
      <c r="N88" s="5">
        <f t="shared" si="5"/>
        <v>3.6697247706422016</v>
      </c>
      <c r="O88" s="5">
        <f t="shared" si="6"/>
        <v>5.333333333333333</v>
      </c>
      <c r="P88" s="8">
        <v>37893</v>
      </c>
      <c r="Q88" s="6">
        <v>23.8</v>
      </c>
      <c r="R88" s="5">
        <v>3.41</v>
      </c>
      <c r="S88" s="6">
        <v>7.1</v>
      </c>
      <c r="T88" s="3"/>
    </row>
    <row r="89" spans="1:20" s="4" customFormat="1" ht="15" customHeight="1" x14ac:dyDescent="0.2">
      <c r="A89" s="4">
        <v>2003</v>
      </c>
      <c r="B89" s="4" t="s">
        <v>91</v>
      </c>
      <c r="C89" s="4">
        <v>5</v>
      </c>
      <c r="D89" s="4">
        <v>3</v>
      </c>
      <c r="E89" s="4" t="s">
        <v>7</v>
      </c>
      <c r="F89" s="4">
        <v>277</v>
      </c>
      <c r="G89" s="4">
        <v>1997</v>
      </c>
      <c r="H89" s="4" t="s">
        <v>14</v>
      </c>
      <c r="I89" s="5">
        <v>2.1800000000000002</v>
      </c>
      <c r="J89" s="3">
        <v>3000</v>
      </c>
      <c r="K89" s="3">
        <f t="shared" si="4"/>
        <v>1376.1467889908256</v>
      </c>
      <c r="L89" s="3">
        <v>210</v>
      </c>
      <c r="M89" s="5">
        <v>8.14</v>
      </c>
      <c r="N89" s="5">
        <f t="shared" si="5"/>
        <v>3.7339449541284404</v>
      </c>
      <c r="O89" s="5">
        <f t="shared" si="6"/>
        <v>5.4266666666666676</v>
      </c>
      <c r="P89" s="8">
        <v>37894</v>
      </c>
      <c r="Q89" s="6">
        <v>25</v>
      </c>
      <c r="R89" s="5">
        <v>3.43</v>
      </c>
      <c r="S89" s="6">
        <v>6.7</v>
      </c>
      <c r="T89" s="3"/>
    </row>
    <row r="90" spans="1:20" s="4" customFormat="1" ht="15" customHeight="1" x14ac:dyDescent="0.2">
      <c r="A90" s="4">
        <v>2003</v>
      </c>
      <c r="B90" s="4" t="s">
        <v>91</v>
      </c>
      <c r="C90" s="4">
        <v>5</v>
      </c>
      <c r="D90" s="4">
        <v>4</v>
      </c>
      <c r="E90" s="4" t="s">
        <v>7</v>
      </c>
      <c r="F90" s="4">
        <v>809</v>
      </c>
      <c r="G90" s="4">
        <v>1997</v>
      </c>
      <c r="H90" s="4" t="s">
        <v>14</v>
      </c>
      <c r="I90" s="5">
        <v>0.73</v>
      </c>
      <c r="J90" s="3">
        <v>1000</v>
      </c>
      <c r="K90" s="3">
        <f t="shared" si="4"/>
        <v>1369.8630136986301</v>
      </c>
      <c r="L90" s="3" t="s">
        <v>15</v>
      </c>
      <c r="M90" s="5">
        <v>0</v>
      </c>
      <c r="N90" s="5">
        <f t="shared" si="5"/>
        <v>0</v>
      </c>
      <c r="O90" s="5">
        <f t="shared" si="6"/>
        <v>0</v>
      </c>
      <c r="P90" s="8" t="s">
        <v>15</v>
      </c>
      <c r="Q90" s="6"/>
      <c r="R90" s="5"/>
      <c r="S90" s="6"/>
      <c r="T90" s="3"/>
    </row>
    <row r="91" spans="1:20" s="4" customFormat="1" ht="15" customHeight="1" x14ac:dyDescent="0.2">
      <c r="A91" s="4">
        <v>2004</v>
      </c>
      <c r="B91" s="4" t="s">
        <v>91</v>
      </c>
      <c r="C91" s="4">
        <v>1</v>
      </c>
      <c r="D91" s="4">
        <v>2</v>
      </c>
      <c r="E91" s="4" t="s">
        <v>7</v>
      </c>
      <c r="F91" s="4">
        <v>548</v>
      </c>
      <c r="G91" s="4">
        <v>1996</v>
      </c>
      <c r="H91" s="4" t="s">
        <v>8</v>
      </c>
      <c r="I91" s="5">
        <v>1.98</v>
      </c>
      <c r="J91" s="3">
        <v>4000</v>
      </c>
      <c r="K91" s="3">
        <v>2020</v>
      </c>
      <c r="L91" s="3">
        <v>190</v>
      </c>
      <c r="M91" s="5">
        <v>8.75</v>
      </c>
      <c r="N91" s="5">
        <f t="shared" ref="N91:N122" si="7">SUM(M91/I91)</f>
        <v>4.4191919191919196</v>
      </c>
      <c r="O91" s="5">
        <f t="shared" ref="O91:O122" si="8">SUM(M91*2000)/J91</f>
        <v>4.375</v>
      </c>
      <c r="P91" s="8">
        <v>38268</v>
      </c>
      <c r="Q91" s="6">
        <v>23.4</v>
      </c>
      <c r="R91" s="5">
        <v>3.51</v>
      </c>
      <c r="S91" s="6">
        <v>7.7</v>
      </c>
      <c r="T91" s="3"/>
    </row>
    <row r="92" spans="1:20" s="4" customFormat="1" ht="15" customHeight="1" x14ac:dyDescent="0.2">
      <c r="A92" s="4">
        <v>2004</v>
      </c>
      <c r="B92" s="4" t="s">
        <v>91</v>
      </c>
      <c r="C92" s="4">
        <v>2</v>
      </c>
      <c r="D92" s="4">
        <v>4</v>
      </c>
      <c r="E92" s="4" t="s">
        <v>7</v>
      </c>
      <c r="F92" s="4" t="s">
        <v>9</v>
      </c>
      <c r="G92" s="4">
        <v>1987</v>
      </c>
      <c r="H92" s="4" t="s">
        <v>10</v>
      </c>
      <c r="I92" s="5">
        <v>1.42</v>
      </c>
      <c r="J92" s="3">
        <v>1532</v>
      </c>
      <c r="K92" s="3">
        <v>1079</v>
      </c>
      <c r="L92" s="3">
        <v>224</v>
      </c>
      <c r="M92" s="5">
        <v>17.8</v>
      </c>
      <c r="N92" s="5">
        <f t="shared" si="7"/>
        <v>12.535211267605636</v>
      </c>
      <c r="O92" s="5">
        <f t="shared" si="8"/>
        <v>23.237597911227155</v>
      </c>
      <c r="P92" s="8">
        <v>38285</v>
      </c>
      <c r="Q92" s="6">
        <v>22</v>
      </c>
      <c r="R92" s="5">
        <v>3.4</v>
      </c>
      <c r="S92" s="6">
        <v>9.3000000000000007</v>
      </c>
      <c r="T92" s="3"/>
    </row>
    <row r="93" spans="1:20" s="4" customFormat="1" ht="15" customHeight="1" x14ac:dyDescent="0.2">
      <c r="A93" s="4">
        <v>2004</v>
      </c>
      <c r="B93" s="4" t="s">
        <v>91</v>
      </c>
      <c r="C93" s="4">
        <v>2</v>
      </c>
      <c r="D93" s="4">
        <v>5</v>
      </c>
      <c r="E93" s="4" t="s">
        <v>7</v>
      </c>
      <c r="F93" s="4" t="s">
        <v>11</v>
      </c>
      <c r="G93" s="4">
        <v>1993</v>
      </c>
      <c r="H93" s="4" t="s">
        <v>12</v>
      </c>
      <c r="I93" s="5">
        <v>0.48</v>
      </c>
      <c r="J93" s="3">
        <v>800</v>
      </c>
      <c r="K93" s="3">
        <v>1667</v>
      </c>
      <c r="L93" s="3"/>
      <c r="M93" s="5">
        <v>4.3</v>
      </c>
      <c r="N93" s="5">
        <f t="shared" si="7"/>
        <v>8.9583333333333339</v>
      </c>
      <c r="O93" s="5">
        <f t="shared" si="8"/>
        <v>10.75</v>
      </c>
      <c r="P93" s="8"/>
      <c r="Q93" s="6"/>
      <c r="R93" s="5"/>
      <c r="S93" s="6"/>
      <c r="T93" s="3"/>
    </row>
    <row r="94" spans="1:20" s="4" customFormat="1" ht="15" customHeight="1" x14ac:dyDescent="0.2">
      <c r="A94" s="4">
        <v>2004</v>
      </c>
      <c r="B94" s="4" t="s">
        <v>91</v>
      </c>
      <c r="C94" s="4">
        <v>3</v>
      </c>
      <c r="D94" s="4">
        <v>4</v>
      </c>
      <c r="E94" s="4" t="s">
        <v>7</v>
      </c>
      <c r="F94" s="4">
        <v>95</v>
      </c>
      <c r="G94" s="4">
        <v>1996</v>
      </c>
      <c r="H94" s="4" t="s">
        <v>13</v>
      </c>
      <c r="I94" s="5">
        <v>2.4700000000000002</v>
      </c>
      <c r="J94" s="3">
        <v>5000</v>
      </c>
      <c r="K94" s="3">
        <f>SUM(J94/I94)</f>
        <v>2024.2914979757084</v>
      </c>
      <c r="L94" s="3"/>
      <c r="M94" s="5">
        <v>17.600000000000001</v>
      </c>
      <c r="N94" s="5">
        <f t="shared" si="7"/>
        <v>7.1255060728744937</v>
      </c>
      <c r="O94" s="5">
        <f t="shared" si="8"/>
        <v>7.04</v>
      </c>
      <c r="P94" s="8">
        <v>38264</v>
      </c>
      <c r="Q94" s="6">
        <v>23.4</v>
      </c>
      <c r="R94" s="5">
        <v>3.59</v>
      </c>
      <c r="S94" s="6">
        <v>7.8</v>
      </c>
      <c r="T94" s="3"/>
    </row>
    <row r="95" spans="1:20" s="4" customFormat="1" ht="15" customHeight="1" x14ac:dyDescent="0.2">
      <c r="A95" s="4">
        <v>2004</v>
      </c>
      <c r="B95" s="4" t="s">
        <v>91</v>
      </c>
      <c r="C95" s="4">
        <v>5</v>
      </c>
      <c r="D95" s="4">
        <v>1</v>
      </c>
      <c r="E95" s="4" t="s">
        <v>7</v>
      </c>
      <c r="F95" s="4">
        <v>76</v>
      </c>
      <c r="G95" s="4">
        <v>1997</v>
      </c>
      <c r="H95" s="4" t="s">
        <v>14</v>
      </c>
      <c r="I95" s="5">
        <v>2.1800000000000002</v>
      </c>
      <c r="J95" s="3">
        <v>3000</v>
      </c>
      <c r="K95" s="3">
        <v>1376</v>
      </c>
      <c r="L95" s="3">
        <v>230</v>
      </c>
      <c r="M95" s="5">
        <v>14.3</v>
      </c>
      <c r="N95" s="5">
        <f t="shared" si="7"/>
        <v>6.5596330275229358</v>
      </c>
      <c r="O95" s="5">
        <f t="shared" si="8"/>
        <v>9.5333333333333332</v>
      </c>
      <c r="P95" s="8">
        <v>38267</v>
      </c>
      <c r="Q95" s="6">
        <v>22</v>
      </c>
      <c r="R95" s="5">
        <v>3.31</v>
      </c>
      <c r="S95" s="6">
        <v>9</v>
      </c>
      <c r="T95" s="3"/>
    </row>
    <row r="96" spans="1:20" s="4" customFormat="1" ht="15" customHeight="1" x14ac:dyDescent="0.2">
      <c r="A96" s="4">
        <v>2004</v>
      </c>
      <c r="B96" s="4" t="s">
        <v>91</v>
      </c>
      <c r="C96" s="4">
        <v>5</v>
      </c>
      <c r="D96" s="4">
        <v>2</v>
      </c>
      <c r="E96" s="4" t="s">
        <v>7</v>
      </c>
      <c r="F96" s="4">
        <v>96</v>
      </c>
      <c r="G96" s="4">
        <v>1997</v>
      </c>
      <c r="H96" s="4" t="s">
        <v>14</v>
      </c>
      <c r="I96" s="5">
        <v>2.1800000000000002</v>
      </c>
      <c r="J96" s="3">
        <v>3000</v>
      </c>
      <c r="K96" s="3">
        <v>1376</v>
      </c>
      <c r="L96" s="3">
        <v>180</v>
      </c>
      <c r="M96" s="5">
        <v>13.1</v>
      </c>
      <c r="N96" s="5">
        <f t="shared" si="7"/>
        <v>6.0091743119266052</v>
      </c>
      <c r="O96" s="5">
        <f t="shared" si="8"/>
        <v>8.7333333333333325</v>
      </c>
      <c r="P96" s="8">
        <v>38273</v>
      </c>
      <c r="Q96" s="6">
        <v>23</v>
      </c>
      <c r="R96" s="5">
        <v>3.4</v>
      </c>
      <c r="S96" s="6">
        <v>6.9</v>
      </c>
      <c r="T96" s="3"/>
    </row>
    <row r="97" spans="1:20" s="4" customFormat="1" ht="15" customHeight="1" x14ac:dyDescent="0.2">
      <c r="A97" s="4">
        <v>2004</v>
      </c>
      <c r="B97" s="4" t="s">
        <v>91</v>
      </c>
      <c r="C97" s="4">
        <v>5</v>
      </c>
      <c r="D97" s="4">
        <v>3</v>
      </c>
      <c r="E97" s="4" t="s">
        <v>7</v>
      </c>
      <c r="F97" s="4">
        <v>277</v>
      </c>
      <c r="G97" s="4">
        <v>1997</v>
      </c>
      <c r="H97" s="4" t="s">
        <v>14</v>
      </c>
      <c r="I97" s="5">
        <v>2.1800000000000002</v>
      </c>
      <c r="J97" s="3">
        <v>3000</v>
      </c>
      <c r="K97" s="3">
        <v>1376</v>
      </c>
      <c r="L97" s="3">
        <v>290</v>
      </c>
      <c r="M97" s="5">
        <v>10.3</v>
      </c>
      <c r="N97" s="5">
        <f t="shared" si="7"/>
        <v>4.7247706422018352</v>
      </c>
      <c r="O97" s="5">
        <f t="shared" si="8"/>
        <v>6.8666666666666663</v>
      </c>
      <c r="P97" s="8">
        <v>38273</v>
      </c>
      <c r="Q97" s="6">
        <v>23.5</v>
      </c>
      <c r="R97" s="5">
        <v>3.36</v>
      </c>
      <c r="S97" s="6">
        <v>8.1</v>
      </c>
      <c r="T97" s="3"/>
    </row>
    <row r="98" spans="1:20" s="4" customFormat="1" ht="15" customHeight="1" x14ac:dyDescent="0.2">
      <c r="A98" s="4">
        <v>2004</v>
      </c>
      <c r="B98" s="4" t="s">
        <v>91</v>
      </c>
      <c r="C98" s="4">
        <v>5</v>
      </c>
      <c r="D98" s="4">
        <v>4</v>
      </c>
      <c r="E98" s="4" t="s">
        <v>7</v>
      </c>
      <c r="F98" s="4">
        <v>809</v>
      </c>
      <c r="G98" s="4">
        <v>1997</v>
      </c>
      <c r="H98" s="4" t="s">
        <v>14</v>
      </c>
      <c r="I98" s="5">
        <v>0.73</v>
      </c>
      <c r="J98" s="3">
        <v>1000</v>
      </c>
      <c r="K98" s="3">
        <v>1370</v>
      </c>
      <c r="L98" s="3">
        <v>165</v>
      </c>
      <c r="M98" s="5">
        <v>5.0999999999999996</v>
      </c>
      <c r="N98" s="5">
        <f t="shared" si="7"/>
        <v>6.9863013698630132</v>
      </c>
      <c r="O98" s="5">
        <f t="shared" si="8"/>
        <v>10.199999999999999</v>
      </c>
      <c r="P98" s="8">
        <v>38273</v>
      </c>
      <c r="Q98" s="6">
        <v>23.2</v>
      </c>
      <c r="R98" s="5">
        <v>3.44</v>
      </c>
      <c r="S98" s="6">
        <v>6.6</v>
      </c>
      <c r="T98" s="3"/>
    </row>
    <row r="99" spans="1:20" s="4" customFormat="1" ht="15" customHeight="1" x14ac:dyDescent="0.2">
      <c r="A99" s="4">
        <v>2005</v>
      </c>
      <c r="B99" s="4" t="s">
        <v>91</v>
      </c>
      <c r="C99" s="4">
        <v>1</v>
      </c>
      <c r="D99" s="4">
        <v>2</v>
      </c>
      <c r="E99" s="4" t="s">
        <v>7</v>
      </c>
      <c r="F99" s="4">
        <v>548</v>
      </c>
      <c r="G99" s="4">
        <v>1996</v>
      </c>
      <c r="H99" s="4" t="s">
        <v>8</v>
      </c>
      <c r="I99" s="5">
        <v>1.98</v>
      </c>
      <c r="J99" s="3">
        <v>4000</v>
      </c>
      <c r="K99" s="3">
        <v>2020</v>
      </c>
      <c r="L99" s="3">
        <v>120</v>
      </c>
      <c r="M99" s="5">
        <v>2</v>
      </c>
      <c r="N99" s="5">
        <f t="shared" si="7"/>
        <v>1.0101010101010102</v>
      </c>
      <c r="O99" s="5">
        <f t="shared" si="8"/>
        <v>1</v>
      </c>
      <c r="P99" s="8">
        <v>38629</v>
      </c>
      <c r="Q99" s="6">
        <v>24</v>
      </c>
      <c r="R99" s="5">
        <v>3.29</v>
      </c>
      <c r="S99" s="6">
        <v>9.1999999999999993</v>
      </c>
      <c r="T99" s="3"/>
    </row>
    <row r="100" spans="1:20" s="4" customFormat="1" ht="15" customHeight="1" x14ac:dyDescent="0.2">
      <c r="A100" s="4">
        <v>2005</v>
      </c>
      <c r="B100" s="4" t="s">
        <v>91</v>
      </c>
      <c r="C100" s="4">
        <v>2</v>
      </c>
      <c r="D100" s="4">
        <v>4</v>
      </c>
      <c r="E100" s="4" t="s">
        <v>7</v>
      </c>
      <c r="F100" s="4" t="s">
        <v>9</v>
      </c>
      <c r="G100" s="4">
        <v>1987</v>
      </c>
      <c r="H100" s="4" t="s">
        <v>10</v>
      </c>
      <c r="I100" s="5">
        <v>1.42</v>
      </c>
      <c r="J100" s="3">
        <v>1532</v>
      </c>
      <c r="K100" s="3">
        <v>1079</v>
      </c>
      <c r="L100" s="3">
        <v>224</v>
      </c>
      <c r="M100" s="5">
        <v>12.4</v>
      </c>
      <c r="N100" s="5">
        <f t="shared" si="7"/>
        <v>8.7323943661971839</v>
      </c>
      <c r="O100" s="5">
        <f t="shared" si="8"/>
        <v>16.187989556135769</v>
      </c>
      <c r="P100" s="8">
        <v>38642</v>
      </c>
      <c r="Q100" s="6">
        <v>23</v>
      </c>
      <c r="R100" s="5">
        <v>3.16</v>
      </c>
      <c r="S100" s="6">
        <v>9.1999999999999993</v>
      </c>
      <c r="T100" s="3"/>
    </row>
    <row r="101" spans="1:20" s="4" customFormat="1" ht="15" customHeight="1" x14ac:dyDescent="0.2">
      <c r="A101" s="4">
        <v>2005</v>
      </c>
      <c r="B101" s="4" t="s">
        <v>91</v>
      </c>
      <c r="C101" s="4">
        <v>2</v>
      </c>
      <c r="D101" s="4">
        <v>5</v>
      </c>
      <c r="E101" s="4" t="s">
        <v>7</v>
      </c>
      <c r="F101" s="4" t="s">
        <v>11</v>
      </c>
      <c r="G101" s="4">
        <v>1993</v>
      </c>
      <c r="H101" s="4" t="s">
        <v>12</v>
      </c>
      <c r="I101" s="5">
        <v>0.48</v>
      </c>
      <c r="J101" s="3">
        <v>800</v>
      </c>
      <c r="K101" s="3">
        <v>1667</v>
      </c>
      <c r="L101" s="3">
        <v>224</v>
      </c>
      <c r="M101" s="5">
        <v>5.2</v>
      </c>
      <c r="N101" s="5">
        <f t="shared" si="7"/>
        <v>10.833333333333334</v>
      </c>
      <c r="O101" s="5">
        <f t="shared" si="8"/>
        <v>13</v>
      </c>
      <c r="P101" s="8">
        <v>38642</v>
      </c>
      <c r="Q101" s="6">
        <v>23</v>
      </c>
      <c r="R101" s="5">
        <v>3.16</v>
      </c>
      <c r="S101" s="6">
        <v>9.1999999999999993</v>
      </c>
      <c r="T101" s="3"/>
    </row>
    <row r="102" spans="1:20" s="4" customFormat="1" ht="15" customHeight="1" x14ac:dyDescent="0.2">
      <c r="A102" s="4">
        <v>2005</v>
      </c>
      <c r="B102" s="4" t="s">
        <v>91</v>
      </c>
      <c r="C102" s="4">
        <v>3</v>
      </c>
      <c r="D102" s="4">
        <v>4</v>
      </c>
      <c r="E102" s="4" t="s">
        <v>7</v>
      </c>
      <c r="F102" s="4">
        <v>95</v>
      </c>
      <c r="G102" s="4">
        <v>1996</v>
      </c>
      <c r="H102" s="4" t="s">
        <v>13</v>
      </c>
      <c r="I102" s="5">
        <v>2.4700000000000002</v>
      </c>
      <c r="J102" s="3">
        <v>5000</v>
      </c>
      <c r="K102" s="3">
        <f>SUM(J102/I102)</f>
        <v>2024.2914979757084</v>
      </c>
      <c r="L102" s="3">
        <v>205</v>
      </c>
      <c r="M102" s="5">
        <v>15.9</v>
      </c>
      <c r="N102" s="5">
        <f t="shared" si="7"/>
        <v>6.4372469635627523</v>
      </c>
      <c r="O102" s="5">
        <f t="shared" si="8"/>
        <v>6.36</v>
      </c>
      <c r="P102" s="8">
        <v>38630</v>
      </c>
      <c r="Q102" s="6">
        <v>23.2</v>
      </c>
      <c r="R102" s="5">
        <v>3.19</v>
      </c>
      <c r="S102" s="6">
        <v>8.6</v>
      </c>
      <c r="T102" s="3"/>
    </row>
    <row r="103" spans="1:20" s="4" customFormat="1" ht="15" customHeight="1" x14ac:dyDescent="0.2">
      <c r="A103" s="4">
        <v>2005</v>
      </c>
      <c r="B103" s="4" t="s">
        <v>91</v>
      </c>
      <c r="C103" s="4">
        <v>5</v>
      </c>
      <c r="D103" s="4">
        <v>1</v>
      </c>
      <c r="E103" s="4" t="s">
        <v>7</v>
      </c>
      <c r="F103" s="4">
        <v>76</v>
      </c>
      <c r="G103" s="4">
        <v>1997</v>
      </c>
      <c r="H103" s="4" t="s">
        <v>14</v>
      </c>
      <c r="I103" s="5">
        <v>2.1800000000000002</v>
      </c>
      <c r="J103" s="3">
        <v>3000</v>
      </c>
      <c r="K103" s="3">
        <v>1376</v>
      </c>
      <c r="L103" s="3">
        <v>203</v>
      </c>
      <c r="M103" s="5">
        <v>11.4</v>
      </c>
      <c r="N103" s="5">
        <f t="shared" si="7"/>
        <v>5.2293577981651378</v>
      </c>
      <c r="O103" s="5">
        <f t="shared" si="8"/>
        <v>7.6</v>
      </c>
      <c r="P103" s="8">
        <v>38637</v>
      </c>
      <c r="Q103" s="6">
        <v>23.6</v>
      </c>
      <c r="R103" s="5">
        <v>3.19</v>
      </c>
      <c r="S103" s="6">
        <v>7.6</v>
      </c>
      <c r="T103" s="3"/>
    </row>
    <row r="104" spans="1:20" s="4" customFormat="1" ht="15" customHeight="1" x14ac:dyDescent="0.2">
      <c r="A104" s="4">
        <v>2005</v>
      </c>
      <c r="B104" s="4" t="s">
        <v>91</v>
      </c>
      <c r="C104" s="4">
        <v>5</v>
      </c>
      <c r="D104" s="4">
        <v>2</v>
      </c>
      <c r="E104" s="4" t="s">
        <v>7</v>
      </c>
      <c r="F104" s="4">
        <v>96</v>
      </c>
      <c r="G104" s="4">
        <v>1997</v>
      </c>
      <c r="H104" s="4" t="s">
        <v>14</v>
      </c>
      <c r="I104" s="5">
        <v>2.1800000000000002</v>
      </c>
      <c r="J104" s="3">
        <v>3000</v>
      </c>
      <c r="K104" s="3">
        <v>1376</v>
      </c>
      <c r="L104" s="3">
        <v>211</v>
      </c>
      <c r="M104" s="5">
        <v>11.8</v>
      </c>
      <c r="N104" s="5">
        <f t="shared" si="7"/>
        <v>5.4128440366972477</v>
      </c>
      <c r="O104" s="5">
        <f t="shared" si="8"/>
        <v>7.8666666666666663</v>
      </c>
      <c r="P104" s="8">
        <v>38637</v>
      </c>
      <c r="Q104" s="6">
        <v>23.2</v>
      </c>
      <c r="R104" s="5">
        <v>3.15</v>
      </c>
      <c r="S104" s="6">
        <v>8</v>
      </c>
      <c r="T104" s="3"/>
    </row>
    <row r="105" spans="1:20" s="4" customFormat="1" ht="15" customHeight="1" x14ac:dyDescent="0.2">
      <c r="A105" s="4">
        <v>2005</v>
      </c>
      <c r="B105" s="4" t="s">
        <v>91</v>
      </c>
      <c r="C105" s="4">
        <v>5</v>
      </c>
      <c r="D105" s="4">
        <v>3</v>
      </c>
      <c r="E105" s="4" t="s">
        <v>7</v>
      </c>
      <c r="F105" s="4">
        <v>277</v>
      </c>
      <c r="G105" s="4">
        <v>1997</v>
      </c>
      <c r="H105" s="4" t="s">
        <v>14</v>
      </c>
      <c r="I105" s="5">
        <v>2.1800000000000002</v>
      </c>
      <c r="J105" s="3">
        <v>3000</v>
      </c>
      <c r="K105" s="3">
        <v>1376</v>
      </c>
      <c r="L105" s="3">
        <v>165</v>
      </c>
      <c r="M105" s="5">
        <v>10</v>
      </c>
      <c r="N105" s="5">
        <f t="shared" si="7"/>
        <v>4.5871559633027523</v>
      </c>
      <c r="O105" s="5">
        <f t="shared" si="8"/>
        <v>6.666666666666667</v>
      </c>
      <c r="P105" s="8">
        <v>38631</v>
      </c>
      <c r="Q105" s="6">
        <v>23</v>
      </c>
      <c r="R105" s="5">
        <v>3.18</v>
      </c>
      <c r="S105" s="6">
        <v>7.8</v>
      </c>
      <c r="T105" s="3"/>
    </row>
    <row r="106" spans="1:20" s="4" customFormat="1" ht="15" customHeight="1" x14ac:dyDescent="0.2">
      <c r="A106" s="4">
        <v>2005</v>
      </c>
      <c r="B106" s="4" t="s">
        <v>91</v>
      </c>
      <c r="C106" s="4">
        <v>5</v>
      </c>
      <c r="D106" s="4">
        <v>4</v>
      </c>
      <c r="E106" s="4" t="s">
        <v>7</v>
      </c>
      <c r="F106" s="4">
        <v>809</v>
      </c>
      <c r="G106" s="4">
        <v>1997</v>
      </c>
      <c r="H106" s="4" t="s">
        <v>14</v>
      </c>
      <c r="I106" s="5">
        <v>0.73</v>
      </c>
      <c r="J106" s="3">
        <v>1000</v>
      </c>
      <c r="K106" s="3">
        <v>1370</v>
      </c>
      <c r="L106" s="3">
        <v>174</v>
      </c>
      <c r="M106" s="5">
        <v>3.2</v>
      </c>
      <c r="N106" s="5">
        <f t="shared" si="7"/>
        <v>4.3835616438356171</v>
      </c>
      <c r="O106" s="5">
        <f t="shared" si="8"/>
        <v>6.4</v>
      </c>
      <c r="P106" s="8">
        <v>38631</v>
      </c>
      <c r="Q106" s="6">
        <v>23.2</v>
      </c>
      <c r="R106" s="5">
        <v>3.29</v>
      </c>
      <c r="S106" s="6">
        <v>8.1</v>
      </c>
      <c r="T106" s="3"/>
    </row>
    <row r="107" spans="1:20" s="1" customFormat="1" ht="15" customHeight="1" x14ac:dyDescent="0.2">
      <c r="A107" s="4">
        <v>2006</v>
      </c>
      <c r="B107" s="4" t="s">
        <v>91</v>
      </c>
      <c r="C107" s="4">
        <v>1</v>
      </c>
      <c r="D107" s="4">
        <v>2</v>
      </c>
      <c r="E107" s="4" t="s">
        <v>7</v>
      </c>
      <c r="F107" s="4">
        <v>548</v>
      </c>
      <c r="G107" s="4">
        <v>1996</v>
      </c>
      <c r="H107" s="4" t="s">
        <v>8</v>
      </c>
      <c r="I107" s="5">
        <v>1.98</v>
      </c>
      <c r="J107" s="3">
        <v>4000</v>
      </c>
      <c r="K107" s="3">
        <v>2020</v>
      </c>
      <c r="L107" s="3">
        <v>145</v>
      </c>
      <c r="M107" s="5">
        <v>10.7</v>
      </c>
      <c r="N107" s="5">
        <f t="shared" si="7"/>
        <v>5.404040404040404</v>
      </c>
      <c r="O107" s="5">
        <f t="shared" si="8"/>
        <v>5.35</v>
      </c>
      <c r="P107" s="8">
        <v>38993</v>
      </c>
      <c r="Q107" s="6">
        <v>23</v>
      </c>
      <c r="R107" s="5">
        <v>3.33</v>
      </c>
      <c r="S107" s="6">
        <v>9.3000000000000007</v>
      </c>
      <c r="T107" s="2"/>
    </row>
    <row r="108" spans="1:20" s="1" customFormat="1" ht="15" customHeight="1" x14ac:dyDescent="0.2">
      <c r="A108" s="4">
        <v>2006</v>
      </c>
      <c r="B108" s="4" t="s">
        <v>91</v>
      </c>
      <c r="C108" s="4">
        <v>2</v>
      </c>
      <c r="D108" s="4">
        <v>4</v>
      </c>
      <c r="E108" s="4" t="s">
        <v>7</v>
      </c>
      <c r="F108" s="4" t="s">
        <v>9</v>
      </c>
      <c r="G108" s="4">
        <v>1987</v>
      </c>
      <c r="H108" s="4" t="s">
        <v>10</v>
      </c>
      <c r="I108" s="5">
        <v>1.42</v>
      </c>
      <c r="J108" s="3">
        <v>1532</v>
      </c>
      <c r="K108" s="3">
        <v>1079</v>
      </c>
      <c r="L108" s="3">
        <v>252</v>
      </c>
      <c r="M108" s="5">
        <v>16</v>
      </c>
      <c r="N108" s="5">
        <f t="shared" si="7"/>
        <v>11.267605633802818</v>
      </c>
      <c r="O108" s="5">
        <f t="shared" si="8"/>
        <v>20.887728459530027</v>
      </c>
      <c r="P108" s="8">
        <v>39015</v>
      </c>
      <c r="Q108" s="6">
        <v>22.4</v>
      </c>
      <c r="R108" s="5">
        <v>3.28</v>
      </c>
      <c r="S108" s="6">
        <v>9.6</v>
      </c>
      <c r="T108" s="2"/>
    </row>
    <row r="109" spans="1:20" s="1" customFormat="1" ht="15" customHeight="1" x14ac:dyDescent="0.2">
      <c r="A109" s="4">
        <v>2006</v>
      </c>
      <c r="B109" s="4" t="s">
        <v>91</v>
      </c>
      <c r="C109" s="4">
        <v>2</v>
      </c>
      <c r="D109" s="4">
        <v>5</v>
      </c>
      <c r="E109" s="4" t="s">
        <v>7</v>
      </c>
      <c r="F109" s="4" t="s">
        <v>11</v>
      </c>
      <c r="G109" s="4">
        <v>1993</v>
      </c>
      <c r="H109" s="4" t="s">
        <v>12</v>
      </c>
      <c r="I109" s="5">
        <v>0.48</v>
      </c>
      <c r="J109" s="3">
        <v>800</v>
      </c>
      <c r="K109" s="3">
        <v>1667</v>
      </c>
      <c r="L109" s="3">
        <v>270</v>
      </c>
      <c r="M109" s="5">
        <v>5</v>
      </c>
      <c r="N109" s="5">
        <f t="shared" si="7"/>
        <v>10.416666666666668</v>
      </c>
      <c r="O109" s="5">
        <f t="shared" si="8"/>
        <v>12.5</v>
      </c>
      <c r="P109" s="8">
        <v>39015</v>
      </c>
      <c r="Q109" s="6">
        <v>22.2</v>
      </c>
      <c r="R109" s="5">
        <v>3.28</v>
      </c>
      <c r="S109" s="6">
        <v>9.6</v>
      </c>
      <c r="T109" s="2"/>
    </row>
    <row r="110" spans="1:20" s="1" customFormat="1" ht="15" customHeight="1" x14ac:dyDescent="0.2">
      <c r="A110" s="4">
        <v>2006</v>
      </c>
      <c r="B110" s="4" t="s">
        <v>91</v>
      </c>
      <c r="C110" s="4">
        <v>3</v>
      </c>
      <c r="D110" s="4">
        <v>4</v>
      </c>
      <c r="E110" s="4" t="s">
        <v>7</v>
      </c>
      <c r="F110" s="4">
        <v>95</v>
      </c>
      <c r="G110" s="4">
        <v>1996</v>
      </c>
      <c r="H110" s="4" t="s">
        <v>13</v>
      </c>
      <c r="I110" s="5">
        <v>2.4700000000000002</v>
      </c>
      <c r="J110" s="3">
        <v>5000</v>
      </c>
      <c r="K110" s="3">
        <f>SUM(J110/I110)</f>
        <v>2024.2914979757084</v>
      </c>
      <c r="L110" s="3">
        <v>202</v>
      </c>
      <c r="M110" s="5">
        <v>16</v>
      </c>
      <c r="N110" s="5">
        <f t="shared" si="7"/>
        <v>6.4777327935222671</v>
      </c>
      <c r="O110" s="5">
        <f t="shared" si="8"/>
        <v>6.4</v>
      </c>
      <c r="P110" s="8">
        <v>38995</v>
      </c>
      <c r="Q110" s="6">
        <v>23</v>
      </c>
      <c r="R110" s="5">
        <v>3.32</v>
      </c>
      <c r="S110" s="6">
        <v>8.4</v>
      </c>
      <c r="T110" s="2"/>
    </row>
    <row r="111" spans="1:20" s="1" customFormat="1" ht="15" customHeight="1" x14ac:dyDescent="0.2">
      <c r="A111" s="4">
        <v>2006</v>
      </c>
      <c r="B111" s="4" t="s">
        <v>91</v>
      </c>
      <c r="C111" s="4">
        <v>5</v>
      </c>
      <c r="D111" s="4">
        <v>1</v>
      </c>
      <c r="E111" s="4" t="s">
        <v>7</v>
      </c>
      <c r="F111" s="4">
        <v>76</v>
      </c>
      <c r="G111" s="4">
        <v>1997</v>
      </c>
      <c r="H111" s="4" t="s">
        <v>14</v>
      </c>
      <c r="I111" s="5">
        <v>2.1800000000000002</v>
      </c>
      <c r="J111" s="3">
        <v>3000</v>
      </c>
      <c r="K111" s="3">
        <v>1376</v>
      </c>
      <c r="L111" s="3">
        <v>194</v>
      </c>
      <c r="M111" s="5">
        <v>15.3</v>
      </c>
      <c r="N111" s="5">
        <f t="shared" si="7"/>
        <v>7.0183486238532105</v>
      </c>
      <c r="O111" s="5">
        <f t="shared" si="8"/>
        <v>10.199999999999999</v>
      </c>
      <c r="P111" s="8">
        <v>38996</v>
      </c>
      <c r="Q111" s="6">
        <v>22.6</v>
      </c>
      <c r="R111" s="5">
        <v>3.28</v>
      </c>
      <c r="S111" s="6">
        <v>7.9</v>
      </c>
      <c r="T111" s="2"/>
    </row>
    <row r="112" spans="1:20" s="1" customFormat="1" ht="15" customHeight="1" x14ac:dyDescent="0.2">
      <c r="A112" s="4">
        <v>2006</v>
      </c>
      <c r="B112" s="4" t="s">
        <v>91</v>
      </c>
      <c r="C112" s="4">
        <v>5</v>
      </c>
      <c r="D112" s="4">
        <v>2</v>
      </c>
      <c r="E112" s="4" t="s">
        <v>7</v>
      </c>
      <c r="F112" s="4">
        <v>96</v>
      </c>
      <c r="G112" s="4">
        <v>1997</v>
      </c>
      <c r="H112" s="4" t="s">
        <v>14</v>
      </c>
      <c r="I112" s="5">
        <v>2.1800000000000002</v>
      </c>
      <c r="J112" s="3">
        <v>3000</v>
      </c>
      <c r="K112" s="3">
        <v>1376</v>
      </c>
      <c r="L112" s="3">
        <v>226</v>
      </c>
      <c r="M112" s="5">
        <v>14.8</v>
      </c>
      <c r="N112" s="5">
        <f t="shared" si="7"/>
        <v>6.7889908256880735</v>
      </c>
      <c r="O112" s="5">
        <f t="shared" si="8"/>
        <v>9.8666666666666671</v>
      </c>
      <c r="P112" s="8">
        <v>39001</v>
      </c>
      <c r="Q112" s="6">
        <v>22.6</v>
      </c>
      <c r="R112" s="5">
        <v>3.36</v>
      </c>
      <c r="S112" s="6">
        <v>6.9</v>
      </c>
      <c r="T112" s="2"/>
    </row>
    <row r="113" spans="1:20" s="1" customFormat="1" ht="15" customHeight="1" x14ac:dyDescent="0.2">
      <c r="A113" s="4">
        <v>2006</v>
      </c>
      <c r="B113" s="4" t="s">
        <v>91</v>
      </c>
      <c r="C113" s="4">
        <v>5</v>
      </c>
      <c r="D113" s="4">
        <v>3</v>
      </c>
      <c r="E113" s="4" t="s">
        <v>7</v>
      </c>
      <c r="F113" s="4">
        <v>277</v>
      </c>
      <c r="G113" s="4">
        <v>1997</v>
      </c>
      <c r="H113" s="4" t="s">
        <v>14</v>
      </c>
      <c r="I113" s="5">
        <v>2.1800000000000002</v>
      </c>
      <c r="J113" s="3">
        <v>3000</v>
      </c>
      <c r="K113" s="3">
        <v>1376</v>
      </c>
      <c r="L113" s="3">
        <v>180</v>
      </c>
      <c r="M113" s="5">
        <v>10.6</v>
      </c>
      <c r="N113" s="5">
        <f t="shared" si="7"/>
        <v>4.8623853211009171</v>
      </c>
      <c r="O113" s="5">
        <f t="shared" si="8"/>
        <v>7.0666666666666664</v>
      </c>
      <c r="P113" s="8">
        <v>39001</v>
      </c>
      <c r="Q113" s="6">
        <v>22.8</v>
      </c>
      <c r="R113" s="5">
        <v>3.27</v>
      </c>
      <c r="S113" s="6">
        <v>7.7</v>
      </c>
      <c r="T113" s="2"/>
    </row>
    <row r="114" spans="1:20" s="1" customFormat="1" ht="15" customHeight="1" x14ac:dyDescent="0.2">
      <c r="A114" s="4">
        <v>2006</v>
      </c>
      <c r="B114" s="4" t="s">
        <v>91</v>
      </c>
      <c r="C114" s="4">
        <v>5</v>
      </c>
      <c r="D114" s="4">
        <v>4</v>
      </c>
      <c r="E114" s="4" t="s">
        <v>7</v>
      </c>
      <c r="F114" s="4">
        <v>809</v>
      </c>
      <c r="G114" s="4">
        <v>1997</v>
      </c>
      <c r="H114" s="4" t="s">
        <v>14</v>
      </c>
      <c r="I114" s="5">
        <v>0.73</v>
      </c>
      <c r="J114" s="3">
        <v>1000</v>
      </c>
      <c r="K114" s="3">
        <v>1370</v>
      </c>
      <c r="L114" s="3">
        <v>210</v>
      </c>
      <c r="M114" s="5">
        <v>7.6</v>
      </c>
      <c r="N114" s="5">
        <f t="shared" si="7"/>
        <v>10.410958904109588</v>
      </c>
      <c r="O114" s="5">
        <f t="shared" si="8"/>
        <v>15.2</v>
      </c>
      <c r="P114" s="8">
        <v>39001</v>
      </c>
      <c r="Q114" s="6">
        <v>22.4</v>
      </c>
      <c r="R114" s="5">
        <v>3.34</v>
      </c>
      <c r="S114" s="6">
        <v>7</v>
      </c>
      <c r="T114" s="2"/>
    </row>
    <row r="115" spans="1:20" s="1" customFormat="1" ht="15" customHeight="1" x14ac:dyDescent="0.2">
      <c r="A115" s="4">
        <v>2007</v>
      </c>
      <c r="B115" s="4" t="s">
        <v>91</v>
      </c>
      <c r="C115" s="4">
        <v>1</v>
      </c>
      <c r="D115" s="4">
        <v>2</v>
      </c>
      <c r="E115" s="4" t="s">
        <v>7</v>
      </c>
      <c r="F115" s="4">
        <v>548</v>
      </c>
      <c r="G115" s="4">
        <v>1996</v>
      </c>
      <c r="H115" s="4" t="s">
        <v>8</v>
      </c>
      <c r="I115" s="5">
        <v>1.98</v>
      </c>
      <c r="J115" s="3">
        <v>4000</v>
      </c>
      <c r="K115" s="3">
        <v>2020</v>
      </c>
      <c r="L115" s="3">
        <v>140</v>
      </c>
      <c r="M115" s="5">
        <v>5.6</v>
      </c>
      <c r="N115" s="5">
        <f t="shared" si="7"/>
        <v>2.8282828282828283</v>
      </c>
      <c r="O115" s="5">
        <f t="shared" si="8"/>
        <v>2.8</v>
      </c>
      <c r="P115" s="8">
        <v>39358</v>
      </c>
      <c r="Q115" s="6">
        <v>26</v>
      </c>
      <c r="R115" s="5">
        <v>3.29</v>
      </c>
      <c r="S115" s="6">
        <v>9.8000000000000007</v>
      </c>
      <c r="T115" s="2"/>
    </row>
    <row r="116" spans="1:20" s="1" customFormat="1" ht="15" customHeight="1" x14ac:dyDescent="0.2">
      <c r="A116" s="4">
        <v>2007</v>
      </c>
      <c r="B116" s="4" t="s">
        <v>91</v>
      </c>
      <c r="C116" s="4">
        <v>2</v>
      </c>
      <c r="D116" s="4">
        <v>4</v>
      </c>
      <c r="E116" s="4" t="s">
        <v>7</v>
      </c>
      <c r="F116" s="4" t="s">
        <v>9</v>
      </c>
      <c r="G116" s="4">
        <v>1987</v>
      </c>
      <c r="H116" s="4" t="s">
        <v>10</v>
      </c>
      <c r="I116" s="5">
        <v>1.42</v>
      </c>
      <c r="J116" s="3">
        <v>1532</v>
      </c>
      <c r="K116" s="3">
        <v>1079</v>
      </c>
      <c r="L116" s="3">
        <v>198</v>
      </c>
      <c r="M116" s="5">
        <v>10.3</v>
      </c>
      <c r="N116" s="5">
        <f t="shared" si="7"/>
        <v>7.2535211267605639</v>
      </c>
      <c r="O116" s="5">
        <f t="shared" si="8"/>
        <v>13.446475195822455</v>
      </c>
      <c r="P116" s="8">
        <v>39382</v>
      </c>
      <c r="Q116" s="6">
        <v>23</v>
      </c>
      <c r="R116" s="5">
        <v>3.23</v>
      </c>
      <c r="S116" s="6">
        <v>10.8</v>
      </c>
      <c r="T116" s="2"/>
    </row>
    <row r="117" spans="1:20" s="1" customFormat="1" ht="15" customHeight="1" x14ac:dyDescent="0.2">
      <c r="A117" s="4">
        <v>2007</v>
      </c>
      <c r="B117" s="4" t="s">
        <v>91</v>
      </c>
      <c r="C117" s="4">
        <v>2</v>
      </c>
      <c r="D117" s="4">
        <v>5</v>
      </c>
      <c r="E117" s="4" t="s">
        <v>7</v>
      </c>
      <c r="F117" s="4" t="s">
        <v>11</v>
      </c>
      <c r="G117" s="4">
        <v>1993</v>
      </c>
      <c r="H117" s="4" t="s">
        <v>12</v>
      </c>
      <c r="I117" s="5">
        <v>0.48</v>
      </c>
      <c r="J117" s="3">
        <v>800</v>
      </c>
      <c r="K117" s="3">
        <v>1667</v>
      </c>
      <c r="L117" s="3"/>
      <c r="M117" s="5">
        <v>5.2</v>
      </c>
      <c r="N117" s="5">
        <f t="shared" si="7"/>
        <v>10.833333333333334</v>
      </c>
      <c r="O117" s="5">
        <f t="shared" si="8"/>
        <v>13</v>
      </c>
      <c r="P117" s="8">
        <v>39382</v>
      </c>
      <c r="Q117" s="6">
        <v>23</v>
      </c>
      <c r="R117" s="5">
        <v>3.23</v>
      </c>
      <c r="S117" s="6">
        <v>10.8</v>
      </c>
      <c r="T117" s="2"/>
    </row>
    <row r="118" spans="1:20" s="1" customFormat="1" ht="15" customHeight="1" x14ac:dyDescent="0.2">
      <c r="A118" s="4">
        <v>2007</v>
      </c>
      <c r="B118" s="4" t="s">
        <v>91</v>
      </c>
      <c r="C118" s="4">
        <v>3</v>
      </c>
      <c r="D118" s="4">
        <v>4</v>
      </c>
      <c r="E118" s="4" t="s">
        <v>7</v>
      </c>
      <c r="F118" s="4">
        <v>95</v>
      </c>
      <c r="G118" s="4">
        <v>1996</v>
      </c>
      <c r="H118" s="4" t="s">
        <v>13</v>
      </c>
      <c r="I118" s="5">
        <v>2.4700000000000002</v>
      </c>
      <c r="J118" s="3">
        <v>5000</v>
      </c>
      <c r="K118" s="3">
        <f>SUM(J118/I118)</f>
        <v>2024.2914979757084</v>
      </c>
      <c r="L118" s="3">
        <v>203</v>
      </c>
      <c r="M118" s="5">
        <v>22.9</v>
      </c>
      <c r="N118" s="5">
        <f t="shared" si="7"/>
        <v>9.2712550607287429</v>
      </c>
      <c r="O118" s="5">
        <f t="shared" si="8"/>
        <v>9.16</v>
      </c>
      <c r="P118" s="8">
        <v>39359</v>
      </c>
      <c r="Q118" s="6">
        <v>24.2</v>
      </c>
      <c r="R118" s="5">
        <v>3.29</v>
      </c>
      <c r="S118" s="6">
        <v>8.6</v>
      </c>
      <c r="T118" s="2"/>
    </row>
    <row r="119" spans="1:20" s="1" customFormat="1" ht="15" customHeight="1" x14ac:dyDescent="0.2">
      <c r="A119" s="4">
        <v>2007</v>
      </c>
      <c r="B119" s="4" t="s">
        <v>91</v>
      </c>
      <c r="C119" s="4">
        <v>5</v>
      </c>
      <c r="D119" s="4">
        <v>1</v>
      </c>
      <c r="E119" s="4" t="s">
        <v>7</v>
      </c>
      <c r="F119" s="4">
        <v>76</v>
      </c>
      <c r="G119" s="4">
        <v>1997</v>
      </c>
      <c r="H119" s="4" t="s">
        <v>14</v>
      </c>
      <c r="I119" s="5">
        <v>2.1800000000000002</v>
      </c>
      <c r="J119" s="3">
        <v>3000</v>
      </c>
      <c r="K119" s="3">
        <v>1376</v>
      </c>
      <c r="L119" s="3">
        <v>198</v>
      </c>
      <c r="M119" s="5">
        <v>13.3</v>
      </c>
      <c r="N119" s="5">
        <f t="shared" si="7"/>
        <v>6.1009174311926602</v>
      </c>
      <c r="O119" s="5">
        <f t="shared" si="8"/>
        <v>8.8666666666666671</v>
      </c>
      <c r="P119" s="8">
        <v>39365</v>
      </c>
      <c r="Q119" s="6">
        <v>23</v>
      </c>
      <c r="R119" s="5">
        <v>3.16</v>
      </c>
      <c r="S119" s="6">
        <v>10.199999999999999</v>
      </c>
      <c r="T119" s="2"/>
    </row>
    <row r="120" spans="1:20" s="4" customFormat="1" ht="15" customHeight="1" x14ac:dyDescent="0.2">
      <c r="A120" s="4">
        <v>2007</v>
      </c>
      <c r="B120" s="4" t="s">
        <v>91</v>
      </c>
      <c r="C120" s="4">
        <v>5</v>
      </c>
      <c r="D120" s="4">
        <v>2</v>
      </c>
      <c r="E120" s="4" t="s">
        <v>7</v>
      </c>
      <c r="F120" s="4">
        <v>96</v>
      </c>
      <c r="G120" s="4">
        <v>1997</v>
      </c>
      <c r="H120" s="4" t="s">
        <v>14</v>
      </c>
      <c r="I120" s="5">
        <v>2.1800000000000002</v>
      </c>
      <c r="J120" s="3">
        <v>3000</v>
      </c>
      <c r="K120" s="3">
        <v>1376</v>
      </c>
      <c r="L120" s="3">
        <v>196</v>
      </c>
      <c r="M120" s="5">
        <v>14.1</v>
      </c>
      <c r="N120" s="5">
        <f t="shared" si="7"/>
        <v>6.4678899082568799</v>
      </c>
      <c r="O120" s="5">
        <f t="shared" si="8"/>
        <v>9.4</v>
      </c>
      <c r="P120" s="8">
        <v>39365</v>
      </c>
      <c r="Q120" s="6">
        <v>22</v>
      </c>
      <c r="R120" s="5">
        <v>3.18</v>
      </c>
      <c r="S120" s="6">
        <v>8.9</v>
      </c>
      <c r="T120" s="3"/>
    </row>
    <row r="121" spans="1:20" s="4" customFormat="1" ht="15" customHeight="1" x14ac:dyDescent="0.2">
      <c r="A121" s="4">
        <v>2007</v>
      </c>
      <c r="B121" s="4" t="s">
        <v>91</v>
      </c>
      <c r="C121" s="4">
        <v>5</v>
      </c>
      <c r="D121" s="4">
        <v>3</v>
      </c>
      <c r="E121" s="4" t="s">
        <v>7</v>
      </c>
      <c r="F121" s="4">
        <v>277</v>
      </c>
      <c r="G121" s="4">
        <v>1997</v>
      </c>
      <c r="H121" s="4" t="s">
        <v>14</v>
      </c>
      <c r="I121" s="5">
        <v>2.1800000000000002</v>
      </c>
      <c r="J121" s="3">
        <v>3000</v>
      </c>
      <c r="K121" s="3">
        <v>1376</v>
      </c>
      <c r="L121" s="3">
        <v>206</v>
      </c>
      <c r="M121" s="5">
        <v>13.9</v>
      </c>
      <c r="N121" s="5">
        <f t="shared" si="7"/>
        <v>6.376146788990825</v>
      </c>
      <c r="O121" s="5">
        <f t="shared" si="8"/>
        <v>9.2666666666666675</v>
      </c>
      <c r="P121" s="8">
        <v>39360</v>
      </c>
      <c r="Q121" s="6">
        <v>21.8</v>
      </c>
      <c r="R121" s="5">
        <v>3.25</v>
      </c>
      <c r="S121" s="6">
        <v>9.1999999999999993</v>
      </c>
      <c r="T121" s="3"/>
    </row>
    <row r="122" spans="1:20" s="4" customFormat="1" ht="15" customHeight="1" x14ac:dyDescent="0.2">
      <c r="A122" s="4">
        <v>2007</v>
      </c>
      <c r="B122" s="4" t="s">
        <v>91</v>
      </c>
      <c r="C122" s="4">
        <v>5</v>
      </c>
      <c r="D122" s="4">
        <v>4</v>
      </c>
      <c r="E122" s="4" t="s">
        <v>7</v>
      </c>
      <c r="F122" s="4">
        <v>809</v>
      </c>
      <c r="G122" s="4">
        <v>1997</v>
      </c>
      <c r="H122" s="4" t="s">
        <v>14</v>
      </c>
      <c r="I122" s="5">
        <v>0.73</v>
      </c>
      <c r="J122" s="3">
        <v>1000</v>
      </c>
      <c r="K122" s="3">
        <v>1370</v>
      </c>
      <c r="L122" s="3">
        <v>210</v>
      </c>
      <c r="M122" s="5">
        <v>6.3</v>
      </c>
      <c r="N122" s="5">
        <f t="shared" si="7"/>
        <v>8.6301369863013697</v>
      </c>
      <c r="O122" s="5">
        <f t="shared" si="8"/>
        <v>12.6</v>
      </c>
      <c r="P122" s="8">
        <v>39360</v>
      </c>
      <c r="Q122" s="6">
        <v>21.4</v>
      </c>
      <c r="R122" s="5">
        <v>3.25</v>
      </c>
      <c r="S122" s="6">
        <v>8.6999999999999993</v>
      </c>
      <c r="T122" s="3"/>
    </row>
    <row r="123" spans="1:20" s="4" customFormat="1" ht="15" customHeight="1" x14ac:dyDescent="0.2">
      <c r="A123" s="4">
        <v>2008</v>
      </c>
      <c r="B123" s="4" t="s">
        <v>91</v>
      </c>
      <c r="C123" s="4">
        <v>1</v>
      </c>
      <c r="D123" s="4">
        <v>2</v>
      </c>
      <c r="E123" s="4" t="s">
        <v>7</v>
      </c>
      <c r="F123" s="4">
        <v>548</v>
      </c>
      <c r="G123" s="4">
        <v>1996</v>
      </c>
      <c r="H123" s="4" t="s">
        <v>8</v>
      </c>
      <c r="I123" s="5">
        <v>1.82</v>
      </c>
      <c r="J123" s="3">
        <v>4000</v>
      </c>
      <c r="K123" s="3">
        <v>2020</v>
      </c>
      <c r="L123" s="3">
        <v>157</v>
      </c>
      <c r="M123" s="5">
        <v>9.8000000000000007</v>
      </c>
      <c r="N123" s="5">
        <f t="shared" ref="N123:N154" si="9">SUM(M123/I123)</f>
        <v>5.384615384615385</v>
      </c>
      <c r="O123" s="5">
        <f t="shared" ref="O123:O154" si="10">SUM(M123*2000)/J123</f>
        <v>4.9000000000000004</v>
      </c>
      <c r="P123" s="8">
        <v>39358</v>
      </c>
      <c r="Q123" s="6">
        <v>23.8</v>
      </c>
      <c r="R123" s="5">
        <v>3.35</v>
      </c>
      <c r="S123" s="6">
        <v>5.0999999999999996</v>
      </c>
      <c r="T123" s="3"/>
    </row>
    <row r="124" spans="1:20" s="4" customFormat="1" ht="15" customHeight="1" x14ac:dyDescent="0.2">
      <c r="A124" s="4">
        <v>2008</v>
      </c>
      <c r="B124" s="4" t="s">
        <v>91</v>
      </c>
      <c r="C124" s="4">
        <v>2</v>
      </c>
      <c r="D124" s="4">
        <v>4</v>
      </c>
      <c r="E124" s="4" t="s">
        <v>7</v>
      </c>
      <c r="F124" s="4" t="s">
        <v>9</v>
      </c>
      <c r="G124" s="4">
        <v>1987</v>
      </c>
      <c r="H124" s="4" t="s">
        <v>10</v>
      </c>
      <c r="I124" s="5">
        <v>1.42</v>
      </c>
      <c r="J124" s="3">
        <v>1532</v>
      </c>
      <c r="K124" s="3">
        <v>1079</v>
      </c>
      <c r="L124" s="3">
        <v>250</v>
      </c>
      <c r="M124" s="5">
        <v>15.9</v>
      </c>
      <c r="N124" s="5">
        <f t="shared" si="9"/>
        <v>11.19718309859155</v>
      </c>
      <c r="O124" s="5">
        <f t="shared" si="10"/>
        <v>20.757180156657963</v>
      </c>
      <c r="P124" s="8">
        <v>39731</v>
      </c>
      <c r="Q124" s="6">
        <v>21</v>
      </c>
      <c r="R124" s="5">
        <v>3.2</v>
      </c>
      <c r="S124" s="6">
        <v>11.8</v>
      </c>
      <c r="T124" s="3"/>
    </row>
    <row r="125" spans="1:20" s="4" customFormat="1" ht="15" customHeight="1" x14ac:dyDescent="0.2">
      <c r="A125" s="4">
        <v>2008</v>
      </c>
      <c r="B125" s="4" t="s">
        <v>91</v>
      </c>
      <c r="C125" s="4">
        <v>2</v>
      </c>
      <c r="D125" s="4">
        <v>5</v>
      </c>
      <c r="E125" s="4" t="s">
        <v>7</v>
      </c>
      <c r="F125" s="4" t="s">
        <v>11</v>
      </c>
      <c r="G125" s="4">
        <v>1993</v>
      </c>
      <c r="H125" s="4" t="s">
        <v>12</v>
      </c>
      <c r="I125" s="5">
        <v>0.48</v>
      </c>
      <c r="J125" s="3">
        <v>800</v>
      </c>
      <c r="K125" s="3">
        <v>1667</v>
      </c>
      <c r="L125" s="3">
        <v>240</v>
      </c>
      <c r="M125" s="5">
        <v>6.9</v>
      </c>
      <c r="N125" s="5">
        <f t="shared" si="9"/>
        <v>14.375000000000002</v>
      </c>
      <c r="O125" s="5">
        <f t="shared" si="10"/>
        <v>17.25</v>
      </c>
      <c r="P125" s="8">
        <v>39731</v>
      </c>
      <c r="Q125" s="6">
        <v>21</v>
      </c>
      <c r="R125" s="5">
        <v>3.2</v>
      </c>
      <c r="S125" s="6">
        <v>11.8</v>
      </c>
      <c r="T125" s="3"/>
    </row>
    <row r="126" spans="1:20" s="4" customFormat="1" ht="15" customHeight="1" x14ac:dyDescent="0.2">
      <c r="A126" s="4">
        <v>2008</v>
      </c>
      <c r="B126" s="4" t="s">
        <v>91</v>
      </c>
      <c r="C126" s="4">
        <v>3</v>
      </c>
      <c r="D126" s="4">
        <v>4</v>
      </c>
      <c r="E126" s="4" t="s">
        <v>7</v>
      </c>
      <c r="F126" s="4">
        <v>95</v>
      </c>
      <c r="G126" s="4">
        <v>1996</v>
      </c>
      <c r="H126" s="4" t="s">
        <v>13</v>
      </c>
      <c r="I126" s="5">
        <v>2.4700000000000002</v>
      </c>
      <c r="J126" s="3">
        <v>5000</v>
      </c>
      <c r="K126" s="3">
        <f>SUM(J126/I126)</f>
        <v>2024.2914979757084</v>
      </c>
      <c r="L126" s="3">
        <v>235</v>
      </c>
      <c r="M126" s="5">
        <v>22.6</v>
      </c>
      <c r="N126" s="5">
        <f t="shared" si="9"/>
        <v>9.1497975708502022</v>
      </c>
      <c r="O126" s="5">
        <f t="shared" si="10"/>
        <v>9.0399999999999991</v>
      </c>
      <c r="P126" s="8">
        <v>39727</v>
      </c>
      <c r="Q126" s="6">
        <v>23.4</v>
      </c>
      <c r="R126" s="5">
        <v>3.38</v>
      </c>
      <c r="S126" s="6">
        <v>9.5</v>
      </c>
      <c r="T126" s="3"/>
    </row>
    <row r="127" spans="1:20" s="4" customFormat="1" ht="15" customHeight="1" x14ac:dyDescent="0.2">
      <c r="A127" s="4">
        <v>2008</v>
      </c>
      <c r="B127" s="4" t="s">
        <v>91</v>
      </c>
      <c r="C127" s="4">
        <v>4</v>
      </c>
      <c r="D127" s="4">
        <v>1</v>
      </c>
      <c r="E127" s="4" t="s">
        <v>7</v>
      </c>
      <c r="F127" s="4">
        <v>95</v>
      </c>
      <c r="G127" s="4">
        <v>2008</v>
      </c>
      <c r="H127" s="4" t="s">
        <v>92</v>
      </c>
      <c r="I127" s="5">
        <v>2.35</v>
      </c>
      <c r="J127" s="3">
        <v>1992</v>
      </c>
      <c r="K127" s="3">
        <f>SUM(J127/I127)</f>
        <v>847.65957446808511</v>
      </c>
      <c r="L127" s="3"/>
      <c r="M127" s="5">
        <v>0</v>
      </c>
      <c r="N127" s="5">
        <f t="shared" si="9"/>
        <v>0</v>
      </c>
      <c r="O127" s="5">
        <f t="shared" si="10"/>
        <v>0</v>
      </c>
      <c r="P127" s="8"/>
      <c r="Q127" s="6"/>
      <c r="R127" s="5"/>
      <c r="S127" s="6"/>
      <c r="T127" s="3"/>
    </row>
    <row r="128" spans="1:20" s="4" customFormat="1" ht="15" customHeight="1" x14ac:dyDescent="0.2">
      <c r="A128" s="4">
        <v>2008</v>
      </c>
      <c r="B128" s="4" t="s">
        <v>91</v>
      </c>
      <c r="C128" s="4">
        <v>5</v>
      </c>
      <c r="D128" s="4">
        <v>1</v>
      </c>
      <c r="E128" s="4" t="s">
        <v>7</v>
      </c>
      <c r="F128" s="4">
        <v>76</v>
      </c>
      <c r="G128" s="4">
        <v>1997</v>
      </c>
      <c r="H128" s="4" t="s">
        <v>14</v>
      </c>
      <c r="I128" s="5">
        <v>2.1800000000000002</v>
      </c>
      <c r="J128" s="3">
        <v>3000</v>
      </c>
      <c r="K128" s="3">
        <v>1376</v>
      </c>
      <c r="L128" s="3">
        <v>230</v>
      </c>
      <c r="M128" s="5">
        <v>13.3</v>
      </c>
      <c r="N128" s="5">
        <f t="shared" si="9"/>
        <v>6.1009174311926602</v>
      </c>
      <c r="O128" s="5">
        <f t="shared" si="10"/>
        <v>8.8666666666666671</v>
      </c>
      <c r="P128" s="8">
        <v>39729</v>
      </c>
      <c r="Q128" s="6">
        <v>23.4</v>
      </c>
      <c r="R128" s="5">
        <v>3.28</v>
      </c>
      <c r="S128" s="6">
        <v>10.3</v>
      </c>
      <c r="T128" s="3"/>
    </row>
    <row r="129" spans="1:20" s="4" customFormat="1" ht="15" customHeight="1" x14ac:dyDescent="0.2">
      <c r="A129" s="4">
        <v>2008</v>
      </c>
      <c r="B129" s="4" t="s">
        <v>91</v>
      </c>
      <c r="C129" s="4">
        <v>5</v>
      </c>
      <c r="D129" s="4">
        <v>2</v>
      </c>
      <c r="E129" s="4" t="s">
        <v>7</v>
      </c>
      <c r="F129" s="4">
        <v>96</v>
      </c>
      <c r="G129" s="4">
        <v>1997</v>
      </c>
      <c r="H129" s="4" t="s">
        <v>14</v>
      </c>
      <c r="I129" s="5">
        <v>2.1800000000000002</v>
      </c>
      <c r="J129" s="3">
        <v>3000</v>
      </c>
      <c r="K129" s="3">
        <v>1376</v>
      </c>
      <c r="L129" s="3">
        <v>220</v>
      </c>
      <c r="M129" s="5">
        <v>13.2</v>
      </c>
      <c r="N129" s="5">
        <f t="shared" si="9"/>
        <v>6.0550458715596323</v>
      </c>
      <c r="O129" s="5">
        <f t="shared" si="10"/>
        <v>8.8000000000000007</v>
      </c>
      <c r="P129" s="8">
        <v>39729</v>
      </c>
      <c r="Q129" s="6">
        <v>22.5</v>
      </c>
      <c r="R129" s="5">
        <v>3.31</v>
      </c>
      <c r="S129" s="6">
        <v>10</v>
      </c>
      <c r="T129" s="3"/>
    </row>
    <row r="130" spans="1:20" s="4" customFormat="1" ht="15" customHeight="1" x14ac:dyDescent="0.2">
      <c r="A130" s="4">
        <v>2008</v>
      </c>
      <c r="B130" s="4" t="s">
        <v>91</v>
      </c>
      <c r="C130" s="4">
        <v>5</v>
      </c>
      <c r="D130" s="4">
        <v>3</v>
      </c>
      <c r="E130" s="4" t="s">
        <v>7</v>
      </c>
      <c r="F130" s="4">
        <v>277</v>
      </c>
      <c r="G130" s="4">
        <v>1997</v>
      </c>
      <c r="H130" s="4" t="s">
        <v>14</v>
      </c>
      <c r="I130" s="5">
        <v>2.1800000000000002</v>
      </c>
      <c r="J130" s="3">
        <v>3000</v>
      </c>
      <c r="K130" s="3">
        <v>1376</v>
      </c>
      <c r="L130" s="3">
        <v>200</v>
      </c>
      <c r="M130" s="5">
        <v>13.1</v>
      </c>
      <c r="N130" s="5">
        <f t="shared" si="9"/>
        <v>6.0091743119266052</v>
      </c>
      <c r="O130" s="5">
        <f t="shared" si="10"/>
        <v>8.7333333333333325</v>
      </c>
      <c r="P130" s="8">
        <v>39729</v>
      </c>
      <c r="Q130" s="6">
        <v>22.5</v>
      </c>
      <c r="R130" s="5">
        <v>3.31</v>
      </c>
      <c r="S130" s="6">
        <v>10</v>
      </c>
      <c r="T130" s="3"/>
    </row>
    <row r="131" spans="1:20" s="4" customFormat="1" ht="15" customHeight="1" x14ac:dyDescent="0.2">
      <c r="A131" s="4">
        <v>2008</v>
      </c>
      <c r="B131" s="4" t="s">
        <v>91</v>
      </c>
      <c r="C131" s="4">
        <v>5</v>
      </c>
      <c r="D131" s="4">
        <v>4</v>
      </c>
      <c r="E131" s="4" t="s">
        <v>7</v>
      </c>
      <c r="F131" s="4">
        <v>809</v>
      </c>
      <c r="G131" s="4">
        <v>1997</v>
      </c>
      <c r="H131" s="4" t="s">
        <v>14</v>
      </c>
      <c r="I131" s="5">
        <v>0.73</v>
      </c>
      <c r="J131" s="3">
        <v>1000</v>
      </c>
      <c r="K131" s="3">
        <v>1370</v>
      </c>
      <c r="L131" s="3">
        <v>180</v>
      </c>
      <c r="M131" s="5">
        <v>4.9000000000000004</v>
      </c>
      <c r="N131" s="5">
        <f t="shared" si="9"/>
        <v>6.7123287671232887</v>
      </c>
      <c r="O131" s="5">
        <f t="shared" si="10"/>
        <v>9.8000000000000007</v>
      </c>
      <c r="P131" s="8">
        <v>39729</v>
      </c>
      <c r="Q131" s="6">
        <v>23.4</v>
      </c>
      <c r="R131" s="5">
        <v>3.4</v>
      </c>
      <c r="S131" s="6">
        <v>9</v>
      </c>
      <c r="T131" s="3"/>
    </row>
    <row r="132" spans="1:20" s="4" customFormat="1" ht="15" customHeight="1" x14ac:dyDescent="0.2">
      <c r="A132" s="4">
        <v>2009</v>
      </c>
      <c r="B132" s="4" t="s">
        <v>91</v>
      </c>
      <c r="C132" s="4">
        <v>1</v>
      </c>
      <c r="D132" s="4">
        <v>2</v>
      </c>
      <c r="E132" s="4" t="s">
        <v>7</v>
      </c>
      <c r="F132" s="4">
        <v>548</v>
      </c>
      <c r="G132" s="4">
        <v>1996</v>
      </c>
      <c r="H132" s="4" t="s">
        <v>8</v>
      </c>
      <c r="I132" s="5">
        <v>1.98</v>
      </c>
      <c r="J132" s="3">
        <v>4000</v>
      </c>
      <c r="K132" s="3">
        <v>2020</v>
      </c>
      <c r="L132" s="3">
        <v>193</v>
      </c>
      <c r="M132" s="5">
        <v>6.4</v>
      </c>
      <c r="N132" s="5">
        <f t="shared" si="9"/>
        <v>3.2323232323232327</v>
      </c>
      <c r="O132" s="5">
        <f t="shared" si="10"/>
        <v>3.2</v>
      </c>
      <c r="P132" s="8">
        <v>40086</v>
      </c>
      <c r="Q132" s="6">
        <v>25.4</v>
      </c>
      <c r="R132" s="5">
        <v>3.82</v>
      </c>
      <c r="S132" s="6">
        <v>7.6</v>
      </c>
      <c r="T132" s="3"/>
    </row>
    <row r="133" spans="1:20" s="4" customFormat="1" ht="15" customHeight="1" x14ac:dyDescent="0.2">
      <c r="A133" s="4">
        <v>2009</v>
      </c>
      <c r="B133" s="4" t="s">
        <v>91</v>
      </c>
      <c r="C133" s="4">
        <v>2</v>
      </c>
      <c r="D133" s="4">
        <v>4</v>
      </c>
      <c r="E133" s="4" t="s">
        <v>7</v>
      </c>
      <c r="F133" s="4" t="s">
        <v>9</v>
      </c>
      <c r="G133" s="4">
        <v>1987</v>
      </c>
      <c r="H133" s="4" t="s">
        <v>10</v>
      </c>
      <c r="I133" s="5">
        <v>1.42</v>
      </c>
      <c r="J133" s="3">
        <v>1532</v>
      </c>
      <c r="K133" s="3">
        <v>1079</v>
      </c>
      <c r="L133" s="3">
        <v>212</v>
      </c>
      <c r="M133" s="5">
        <v>12.2</v>
      </c>
      <c r="N133" s="5">
        <f t="shared" si="9"/>
        <v>8.591549295774648</v>
      </c>
      <c r="O133" s="5">
        <f t="shared" si="10"/>
        <v>15.926892950391645</v>
      </c>
      <c r="P133" s="8">
        <v>40093</v>
      </c>
      <c r="Q133" s="6">
        <v>24.1</v>
      </c>
      <c r="R133" s="5">
        <v>3.39</v>
      </c>
      <c r="S133" s="6">
        <v>8.9</v>
      </c>
      <c r="T133" s="3"/>
    </row>
    <row r="134" spans="1:20" s="4" customFormat="1" ht="15" customHeight="1" x14ac:dyDescent="0.2">
      <c r="A134" s="4">
        <v>2009</v>
      </c>
      <c r="B134" s="4" t="s">
        <v>91</v>
      </c>
      <c r="C134" s="4">
        <v>2</v>
      </c>
      <c r="D134" s="4">
        <v>5</v>
      </c>
      <c r="E134" s="4" t="s">
        <v>7</v>
      </c>
      <c r="F134" s="4" t="s">
        <v>11</v>
      </c>
      <c r="G134" s="4">
        <v>1993</v>
      </c>
      <c r="H134" s="4" t="s">
        <v>12</v>
      </c>
      <c r="I134" s="5">
        <v>0.48</v>
      </c>
      <c r="J134" s="3">
        <v>800</v>
      </c>
      <c r="K134" s="3">
        <v>1667</v>
      </c>
      <c r="L134" s="3">
        <v>212</v>
      </c>
      <c r="M134" s="5">
        <v>6.2</v>
      </c>
      <c r="N134" s="5">
        <f t="shared" si="9"/>
        <v>12.916666666666668</v>
      </c>
      <c r="O134" s="5">
        <f t="shared" si="10"/>
        <v>15.5</v>
      </c>
      <c r="P134" s="8">
        <v>40093</v>
      </c>
      <c r="Q134" s="6">
        <v>21.8</v>
      </c>
      <c r="R134" s="5">
        <v>3.49</v>
      </c>
      <c r="S134" s="6">
        <v>8.1999999999999993</v>
      </c>
      <c r="T134" s="3"/>
    </row>
    <row r="135" spans="1:20" s="4" customFormat="1" ht="15" customHeight="1" x14ac:dyDescent="0.2">
      <c r="A135" s="4">
        <v>2009</v>
      </c>
      <c r="B135" s="4" t="s">
        <v>91</v>
      </c>
      <c r="C135" s="4">
        <v>3</v>
      </c>
      <c r="D135" s="4">
        <v>4</v>
      </c>
      <c r="E135" s="4" t="s">
        <v>7</v>
      </c>
      <c r="F135" s="4">
        <v>95</v>
      </c>
      <c r="G135" s="4">
        <v>1996</v>
      </c>
      <c r="H135" s="4" t="s">
        <v>13</v>
      </c>
      <c r="I135" s="5">
        <v>2.4700000000000002</v>
      </c>
      <c r="J135" s="3">
        <v>5000</v>
      </c>
      <c r="K135" s="3">
        <f>SUM(J135/I135)</f>
        <v>2024.2914979757084</v>
      </c>
      <c r="L135" s="3">
        <v>220</v>
      </c>
      <c r="M135" s="5">
        <v>11.7</v>
      </c>
      <c r="N135" s="5">
        <f t="shared" si="9"/>
        <v>4.7368421052631575</v>
      </c>
      <c r="O135" s="5">
        <f t="shared" si="10"/>
        <v>4.68</v>
      </c>
      <c r="P135" s="8">
        <v>40086</v>
      </c>
      <c r="Q135" s="6">
        <v>26</v>
      </c>
      <c r="R135" s="5">
        <v>3.83</v>
      </c>
      <c r="S135" s="6">
        <v>6.7</v>
      </c>
      <c r="T135" s="3"/>
    </row>
    <row r="136" spans="1:20" s="4" customFormat="1" ht="15" customHeight="1" x14ac:dyDescent="0.2">
      <c r="A136" s="4">
        <v>2009</v>
      </c>
      <c r="B136" s="4" t="s">
        <v>91</v>
      </c>
      <c r="C136" s="4">
        <v>4</v>
      </c>
      <c r="D136" s="4">
        <v>1</v>
      </c>
      <c r="E136" s="4" t="s">
        <v>7</v>
      </c>
      <c r="F136" s="4">
        <v>95</v>
      </c>
      <c r="G136" s="4">
        <v>2009</v>
      </c>
      <c r="H136" s="4" t="s">
        <v>93</v>
      </c>
      <c r="I136" s="5">
        <v>2.35</v>
      </c>
      <c r="J136" s="3">
        <v>1992</v>
      </c>
      <c r="K136" s="3">
        <f>SUM(J136/I136)</f>
        <v>847.65957446808511</v>
      </c>
      <c r="L136" s="3">
        <v>265</v>
      </c>
      <c r="M136" s="5">
        <v>6.5</v>
      </c>
      <c r="N136" s="5">
        <f t="shared" si="9"/>
        <v>2.7659574468085104</v>
      </c>
      <c r="O136" s="5">
        <f t="shared" si="10"/>
        <v>6.5261044176706831</v>
      </c>
      <c r="P136" s="8">
        <v>40085</v>
      </c>
      <c r="Q136" s="6">
        <v>24.8</v>
      </c>
      <c r="R136" s="5">
        <v>3.68</v>
      </c>
      <c r="S136" s="6">
        <v>7.6</v>
      </c>
      <c r="T136" s="3"/>
    </row>
    <row r="137" spans="1:20" s="4" customFormat="1" ht="15" customHeight="1" x14ac:dyDescent="0.2">
      <c r="A137" s="4">
        <v>2009</v>
      </c>
      <c r="B137" s="4" t="s">
        <v>91</v>
      </c>
      <c r="C137" s="4">
        <v>5</v>
      </c>
      <c r="D137" s="4">
        <v>1</v>
      </c>
      <c r="E137" s="4" t="s">
        <v>7</v>
      </c>
      <c r="F137" s="4">
        <v>76</v>
      </c>
      <c r="G137" s="4">
        <v>1997</v>
      </c>
      <c r="H137" s="4" t="s">
        <v>14</v>
      </c>
      <c r="I137" s="5">
        <v>2.1800000000000002</v>
      </c>
      <c r="J137" s="3">
        <v>3000</v>
      </c>
      <c r="K137" s="3">
        <v>1376</v>
      </c>
      <c r="L137" s="3">
        <v>280</v>
      </c>
      <c r="M137" s="5">
        <v>10.4</v>
      </c>
      <c r="N137" s="5">
        <f t="shared" si="9"/>
        <v>4.7706422018348622</v>
      </c>
      <c r="O137" s="5">
        <f t="shared" si="10"/>
        <v>6.9333333333333336</v>
      </c>
      <c r="P137" s="8">
        <v>40087</v>
      </c>
      <c r="Q137" s="6">
        <v>25</v>
      </c>
      <c r="R137" s="5">
        <v>3.75</v>
      </c>
      <c r="S137" s="6">
        <v>6.6</v>
      </c>
      <c r="T137" s="3"/>
    </row>
    <row r="138" spans="1:20" s="4" customFormat="1" ht="15" customHeight="1" x14ac:dyDescent="0.2">
      <c r="A138" s="4">
        <v>2009</v>
      </c>
      <c r="B138" s="4" t="s">
        <v>91</v>
      </c>
      <c r="C138" s="4">
        <v>5</v>
      </c>
      <c r="D138" s="4">
        <v>2</v>
      </c>
      <c r="E138" s="4" t="s">
        <v>7</v>
      </c>
      <c r="F138" s="4">
        <v>96</v>
      </c>
      <c r="G138" s="4">
        <v>1997</v>
      </c>
      <c r="H138" s="4" t="s">
        <v>14</v>
      </c>
      <c r="I138" s="5">
        <v>2.1800000000000002</v>
      </c>
      <c r="J138" s="3">
        <v>3000</v>
      </c>
      <c r="K138" s="3">
        <v>1376</v>
      </c>
      <c r="L138" s="3">
        <v>297</v>
      </c>
      <c r="M138" s="5">
        <v>9.1999999999999993</v>
      </c>
      <c r="N138" s="5">
        <f t="shared" si="9"/>
        <v>4.2201834862385317</v>
      </c>
      <c r="O138" s="5">
        <f t="shared" si="10"/>
        <v>6.1333333333333337</v>
      </c>
      <c r="P138" s="8">
        <v>40087</v>
      </c>
      <c r="Q138" s="6">
        <v>24.8</v>
      </c>
      <c r="R138" s="5">
        <v>3.84</v>
      </c>
      <c r="S138" s="6">
        <v>6.3</v>
      </c>
      <c r="T138" s="3"/>
    </row>
    <row r="139" spans="1:20" s="4" customFormat="1" ht="15" customHeight="1" x14ac:dyDescent="0.2">
      <c r="A139" s="4">
        <v>2009</v>
      </c>
      <c r="B139" s="4" t="s">
        <v>91</v>
      </c>
      <c r="C139" s="4">
        <v>5</v>
      </c>
      <c r="D139" s="4">
        <v>3</v>
      </c>
      <c r="E139" s="4" t="s">
        <v>7</v>
      </c>
      <c r="F139" s="4">
        <v>277</v>
      </c>
      <c r="G139" s="4">
        <v>1997</v>
      </c>
      <c r="H139" s="4" t="s">
        <v>14</v>
      </c>
      <c r="I139" s="5">
        <v>2.1800000000000002</v>
      </c>
      <c r="J139" s="3">
        <v>3000</v>
      </c>
      <c r="K139" s="3">
        <v>1376</v>
      </c>
      <c r="L139" s="3">
        <v>212</v>
      </c>
      <c r="M139" s="5">
        <v>10.4</v>
      </c>
      <c r="N139" s="5">
        <f t="shared" si="9"/>
        <v>4.7706422018348622</v>
      </c>
      <c r="O139" s="5">
        <f t="shared" si="10"/>
        <v>6.9333333333333336</v>
      </c>
      <c r="P139" s="8">
        <v>40087</v>
      </c>
      <c r="Q139" s="6">
        <v>23.6</v>
      </c>
      <c r="R139" s="5">
        <v>3.67</v>
      </c>
      <c r="S139" s="6">
        <v>6.7</v>
      </c>
      <c r="T139" s="3"/>
    </row>
    <row r="140" spans="1:20" s="4" customFormat="1" ht="15" customHeight="1" x14ac:dyDescent="0.2">
      <c r="A140" s="4">
        <v>2009</v>
      </c>
      <c r="B140" s="4" t="s">
        <v>91</v>
      </c>
      <c r="C140" s="4">
        <v>5</v>
      </c>
      <c r="D140" s="4">
        <v>4</v>
      </c>
      <c r="E140" s="4" t="s">
        <v>7</v>
      </c>
      <c r="F140" s="4">
        <v>809</v>
      </c>
      <c r="G140" s="4">
        <v>1997</v>
      </c>
      <c r="H140" s="4" t="s">
        <v>14</v>
      </c>
      <c r="I140" s="5">
        <v>0.73</v>
      </c>
      <c r="J140" s="3">
        <v>1000</v>
      </c>
      <c r="K140" s="3">
        <v>1370</v>
      </c>
      <c r="L140" s="3">
        <v>240</v>
      </c>
      <c r="M140" s="5">
        <v>4.5</v>
      </c>
      <c r="N140" s="5">
        <f t="shared" si="9"/>
        <v>6.1643835616438354</v>
      </c>
      <c r="O140" s="5">
        <f t="shared" si="10"/>
        <v>9</v>
      </c>
      <c r="P140" s="8">
        <v>40088</v>
      </c>
      <c r="Q140" s="6">
        <v>23.2</v>
      </c>
      <c r="R140" s="5">
        <v>3.6</v>
      </c>
      <c r="S140" s="6">
        <v>6.7</v>
      </c>
      <c r="T140" s="3"/>
    </row>
    <row r="141" spans="1:20" s="4" customFormat="1" ht="15" customHeight="1" x14ac:dyDescent="0.2">
      <c r="A141" s="4">
        <v>2010</v>
      </c>
      <c r="B141" s="4" t="s">
        <v>91</v>
      </c>
      <c r="C141" s="4">
        <v>1</v>
      </c>
      <c r="D141" s="4">
        <v>2</v>
      </c>
      <c r="E141" s="4" t="s">
        <v>7</v>
      </c>
      <c r="F141" s="4">
        <v>548</v>
      </c>
      <c r="G141" s="4">
        <v>1996</v>
      </c>
      <c r="H141" s="4" t="s">
        <v>8</v>
      </c>
      <c r="I141" s="5">
        <v>1.98</v>
      </c>
      <c r="J141" s="3">
        <v>4000</v>
      </c>
      <c r="K141" s="3">
        <v>2020</v>
      </c>
      <c r="L141" s="3">
        <v>140</v>
      </c>
      <c r="M141" s="5">
        <v>3.7</v>
      </c>
      <c r="N141" s="5">
        <f t="shared" si="9"/>
        <v>1.8686868686868687</v>
      </c>
      <c r="O141" s="5">
        <f t="shared" si="10"/>
        <v>1.85</v>
      </c>
      <c r="P141" s="8">
        <v>40456</v>
      </c>
      <c r="Q141" s="6">
        <v>26.8</v>
      </c>
      <c r="R141" s="5">
        <v>3.42</v>
      </c>
      <c r="S141" s="6">
        <v>12.1</v>
      </c>
      <c r="T141" s="3"/>
    </row>
    <row r="142" spans="1:20" s="4" customFormat="1" ht="15" customHeight="1" x14ac:dyDescent="0.2">
      <c r="A142" s="4">
        <v>2010</v>
      </c>
      <c r="B142" s="4" t="s">
        <v>91</v>
      </c>
      <c r="C142" s="4">
        <v>2</v>
      </c>
      <c r="D142" s="4">
        <v>4</v>
      </c>
      <c r="E142" s="4" t="s">
        <v>7</v>
      </c>
      <c r="F142" s="4" t="s">
        <v>9</v>
      </c>
      <c r="G142" s="4">
        <v>1987</v>
      </c>
      <c r="H142" s="4" t="s">
        <v>10</v>
      </c>
      <c r="I142" s="5">
        <v>1.42</v>
      </c>
      <c r="J142" s="3">
        <v>1532</v>
      </c>
      <c r="K142" s="3">
        <v>1079</v>
      </c>
      <c r="L142" s="3">
        <v>150</v>
      </c>
      <c r="M142" s="5">
        <v>15.8</v>
      </c>
      <c r="N142" s="5">
        <f t="shared" si="9"/>
        <v>11.126760563380282</v>
      </c>
      <c r="O142" s="5">
        <f t="shared" si="10"/>
        <v>20.626631853785902</v>
      </c>
      <c r="P142" s="8">
        <v>40472</v>
      </c>
      <c r="Q142" s="6">
        <v>22</v>
      </c>
      <c r="R142" s="5">
        <v>3.06</v>
      </c>
      <c r="S142" s="6">
        <v>12.7</v>
      </c>
      <c r="T142" s="3"/>
    </row>
    <row r="143" spans="1:20" s="4" customFormat="1" ht="15" customHeight="1" x14ac:dyDescent="0.2">
      <c r="A143" s="4">
        <v>2010</v>
      </c>
      <c r="B143" s="4" t="s">
        <v>91</v>
      </c>
      <c r="C143" s="4">
        <v>2</v>
      </c>
      <c r="D143" s="4">
        <v>5</v>
      </c>
      <c r="E143" s="4" t="s">
        <v>7</v>
      </c>
      <c r="F143" s="4" t="s">
        <v>11</v>
      </c>
      <c r="G143" s="4">
        <v>1993</v>
      </c>
      <c r="H143" s="4" t="s">
        <v>12</v>
      </c>
      <c r="I143" s="5">
        <v>0.48</v>
      </c>
      <c r="J143" s="3">
        <v>800</v>
      </c>
      <c r="K143" s="3">
        <v>1667</v>
      </c>
      <c r="L143" s="3"/>
      <c r="M143" s="5"/>
      <c r="N143" s="5">
        <f t="shared" si="9"/>
        <v>0</v>
      </c>
      <c r="O143" s="5">
        <f t="shared" si="10"/>
        <v>0</v>
      </c>
      <c r="P143" s="8"/>
      <c r="Q143" s="6"/>
      <c r="R143" s="5"/>
      <c r="S143" s="6"/>
      <c r="T143" s="3"/>
    </row>
    <row r="144" spans="1:20" s="4" customFormat="1" ht="15" customHeight="1" x14ac:dyDescent="0.2">
      <c r="A144" s="4">
        <v>2010</v>
      </c>
      <c r="B144" s="4" t="s">
        <v>91</v>
      </c>
      <c r="C144" s="4">
        <v>3</v>
      </c>
      <c r="D144" s="4">
        <v>4</v>
      </c>
      <c r="E144" s="4" t="s">
        <v>7</v>
      </c>
      <c r="F144" s="4">
        <v>95</v>
      </c>
      <c r="G144" s="4">
        <v>1996</v>
      </c>
      <c r="H144" s="4" t="s">
        <v>13</v>
      </c>
      <c r="I144" s="5">
        <v>2.4700000000000002</v>
      </c>
      <c r="J144" s="3">
        <v>5000</v>
      </c>
      <c r="K144" s="3">
        <f>SUM(J144/I144)</f>
        <v>2024.2914979757084</v>
      </c>
      <c r="L144" s="3">
        <v>138</v>
      </c>
      <c r="M144" s="5">
        <v>10.9</v>
      </c>
      <c r="N144" s="5">
        <f t="shared" si="9"/>
        <v>4.4129554655870447</v>
      </c>
      <c r="O144" s="5">
        <f t="shared" si="10"/>
        <v>4.3600000000000003</v>
      </c>
      <c r="P144" s="8">
        <v>40455</v>
      </c>
      <c r="Q144" s="6">
        <v>25</v>
      </c>
      <c r="R144" s="5">
        <v>3.32</v>
      </c>
      <c r="S144" s="6">
        <v>10.1</v>
      </c>
      <c r="T144" s="3"/>
    </row>
    <row r="145" spans="1:20" s="4" customFormat="1" ht="15" customHeight="1" x14ac:dyDescent="0.2">
      <c r="A145" s="4">
        <v>2010</v>
      </c>
      <c r="B145" s="4" t="s">
        <v>91</v>
      </c>
      <c r="C145" s="4">
        <v>4</v>
      </c>
      <c r="D145" s="4">
        <v>1</v>
      </c>
      <c r="E145" s="4" t="s">
        <v>7</v>
      </c>
      <c r="F145" s="4">
        <v>95</v>
      </c>
      <c r="G145" s="4">
        <v>2010</v>
      </c>
      <c r="H145" s="4" t="s">
        <v>94</v>
      </c>
      <c r="I145" s="5">
        <v>2.35</v>
      </c>
      <c r="J145" s="3">
        <v>1992</v>
      </c>
      <c r="K145" s="3">
        <f>SUM(J145/I145)</f>
        <v>847.65957446808511</v>
      </c>
      <c r="L145" s="3">
        <v>155</v>
      </c>
      <c r="M145" s="5">
        <v>11</v>
      </c>
      <c r="N145" s="5">
        <f t="shared" si="9"/>
        <v>4.6808510638297873</v>
      </c>
      <c r="O145" s="5">
        <f t="shared" si="10"/>
        <v>11.04417670682731</v>
      </c>
      <c r="P145" s="8">
        <v>40456</v>
      </c>
      <c r="Q145" s="6">
        <v>23</v>
      </c>
      <c r="R145" s="5">
        <v>3.4</v>
      </c>
      <c r="S145" s="6">
        <v>10.4</v>
      </c>
      <c r="T145" s="3"/>
    </row>
    <row r="146" spans="1:20" s="4" customFormat="1" ht="15" customHeight="1" x14ac:dyDescent="0.2">
      <c r="A146" s="4">
        <v>2010</v>
      </c>
      <c r="B146" s="4" t="s">
        <v>91</v>
      </c>
      <c r="C146" s="4">
        <v>5</v>
      </c>
      <c r="D146" s="4">
        <v>1</v>
      </c>
      <c r="E146" s="4" t="s">
        <v>7</v>
      </c>
      <c r="F146" s="4">
        <v>76</v>
      </c>
      <c r="G146" s="4">
        <v>1997</v>
      </c>
      <c r="H146" s="4" t="s">
        <v>14</v>
      </c>
      <c r="I146" s="5">
        <v>2.1800000000000002</v>
      </c>
      <c r="J146" s="3">
        <v>3000</v>
      </c>
      <c r="K146" s="3">
        <v>1376</v>
      </c>
      <c r="L146" s="3">
        <v>180</v>
      </c>
      <c r="M146" s="5">
        <v>9.8000000000000007</v>
      </c>
      <c r="N146" s="5">
        <f t="shared" si="9"/>
        <v>4.4954128440366974</v>
      </c>
      <c r="O146" s="5">
        <f t="shared" si="10"/>
        <v>6.5333333333333332</v>
      </c>
      <c r="P146" s="8">
        <v>40463</v>
      </c>
      <c r="Q146" s="6">
        <v>24.4</v>
      </c>
      <c r="R146" s="5">
        <v>3.17</v>
      </c>
      <c r="S146" s="6">
        <v>10.1</v>
      </c>
      <c r="T146" s="3"/>
    </row>
    <row r="147" spans="1:20" s="4" customFormat="1" ht="15" customHeight="1" x14ac:dyDescent="0.2">
      <c r="A147" s="4">
        <v>2010</v>
      </c>
      <c r="B147" s="4" t="s">
        <v>91</v>
      </c>
      <c r="C147" s="4">
        <v>5</v>
      </c>
      <c r="D147" s="4">
        <v>2</v>
      </c>
      <c r="E147" s="4" t="s">
        <v>7</v>
      </c>
      <c r="F147" s="4">
        <v>96</v>
      </c>
      <c r="G147" s="4">
        <v>1997</v>
      </c>
      <c r="H147" s="4" t="s">
        <v>14</v>
      </c>
      <c r="I147" s="5">
        <v>2.1800000000000002</v>
      </c>
      <c r="J147" s="3">
        <v>3000</v>
      </c>
      <c r="K147" s="3">
        <v>1376</v>
      </c>
      <c r="L147" s="3">
        <v>150</v>
      </c>
      <c r="M147" s="5">
        <v>10.199999999999999</v>
      </c>
      <c r="N147" s="5">
        <f t="shared" si="9"/>
        <v>4.6788990825688064</v>
      </c>
      <c r="O147" s="5">
        <f t="shared" si="10"/>
        <v>6.8</v>
      </c>
      <c r="P147" s="8">
        <v>40463</v>
      </c>
      <c r="Q147" s="6">
        <v>23</v>
      </c>
      <c r="R147" s="5">
        <v>3.18</v>
      </c>
      <c r="S147" s="6">
        <v>10</v>
      </c>
      <c r="T147" s="3"/>
    </row>
    <row r="148" spans="1:20" s="4" customFormat="1" ht="15" customHeight="1" x14ac:dyDescent="0.2">
      <c r="A148" s="4">
        <v>2010</v>
      </c>
      <c r="B148" s="4" t="s">
        <v>91</v>
      </c>
      <c r="C148" s="4">
        <v>5</v>
      </c>
      <c r="D148" s="4">
        <v>3</v>
      </c>
      <c r="E148" s="4" t="s">
        <v>7</v>
      </c>
      <c r="F148" s="4">
        <v>277</v>
      </c>
      <c r="G148" s="4">
        <v>1997</v>
      </c>
      <c r="H148" s="4" t="s">
        <v>14</v>
      </c>
      <c r="I148" s="5">
        <v>2.1800000000000002</v>
      </c>
      <c r="J148" s="3">
        <v>3000</v>
      </c>
      <c r="K148" s="3">
        <v>1376</v>
      </c>
      <c r="L148" s="3">
        <v>125</v>
      </c>
      <c r="M148" s="5">
        <v>7.5</v>
      </c>
      <c r="N148" s="5">
        <f t="shared" si="9"/>
        <v>3.4403669724770638</v>
      </c>
      <c r="O148" s="5">
        <f t="shared" si="10"/>
        <v>5</v>
      </c>
      <c r="P148" s="8">
        <v>40463</v>
      </c>
      <c r="Q148" s="6">
        <v>23.8</v>
      </c>
      <c r="R148" s="5">
        <v>3.06</v>
      </c>
      <c r="S148" s="6">
        <v>11.6</v>
      </c>
      <c r="T148" s="3"/>
    </row>
    <row r="149" spans="1:20" s="4" customFormat="1" ht="15" customHeight="1" x14ac:dyDescent="0.2">
      <c r="A149" s="4">
        <v>2010</v>
      </c>
      <c r="B149" s="4" t="s">
        <v>91</v>
      </c>
      <c r="C149" s="4">
        <v>5</v>
      </c>
      <c r="D149" s="4">
        <v>4</v>
      </c>
      <c r="E149" s="4" t="s">
        <v>7</v>
      </c>
      <c r="F149" s="4">
        <v>809</v>
      </c>
      <c r="G149" s="4">
        <v>1997</v>
      </c>
      <c r="H149" s="4" t="s">
        <v>14</v>
      </c>
      <c r="I149" s="5">
        <v>0.73</v>
      </c>
      <c r="J149" s="3">
        <v>1000</v>
      </c>
      <c r="K149" s="3">
        <v>1370</v>
      </c>
      <c r="L149" s="3">
        <v>135</v>
      </c>
      <c r="M149" s="5">
        <v>3.7</v>
      </c>
      <c r="N149" s="5">
        <f t="shared" si="9"/>
        <v>5.0684931506849322</v>
      </c>
      <c r="O149" s="5">
        <f t="shared" si="10"/>
        <v>7.4</v>
      </c>
      <c r="P149" s="8">
        <v>40463</v>
      </c>
      <c r="Q149" s="6">
        <v>23</v>
      </c>
      <c r="R149" s="5">
        <v>3.25</v>
      </c>
      <c r="S149" s="6">
        <v>11.8</v>
      </c>
      <c r="T149" s="3"/>
    </row>
    <row r="150" spans="1:20" s="4" customFormat="1" ht="15" customHeight="1" x14ac:dyDescent="0.2">
      <c r="A150" s="4">
        <v>2011</v>
      </c>
      <c r="B150" s="4" t="s">
        <v>91</v>
      </c>
      <c r="C150" s="4">
        <v>1</v>
      </c>
      <c r="D150" s="4">
        <v>2</v>
      </c>
      <c r="E150" s="4" t="s">
        <v>7</v>
      </c>
      <c r="F150" s="4">
        <v>548</v>
      </c>
      <c r="G150" s="4">
        <v>1996</v>
      </c>
      <c r="H150" s="4" t="s">
        <v>8</v>
      </c>
      <c r="I150" s="5">
        <v>1.98</v>
      </c>
      <c r="J150" s="3">
        <v>4000</v>
      </c>
      <c r="K150" s="3">
        <v>2020</v>
      </c>
      <c r="L150" s="3">
        <v>245</v>
      </c>
      <c r="M150" s="5">
        <v>4.51</v>
      </c>
      <c r="N150" s="5">
        <f t="shared" si="9"/>
        <v>2.2777777777777777</v>
      </c>
      <c r="O150" s="5">
        <f t="shared" si="10"/>
        <v>2.2549999999999999</v>
      </c>
      <c r="P150" s="8">
        <v>40833</v>
      </c>
      <c r="Q150" s="6">
        <v>23</v>
      </c>
      <c r="R150" s="5">
        <v>3.39</v>
      </c>
      <c r="S150" s="6">
        <v>9.1999999999999993</v>
      </c>
      <c r="T150" s="3"/>
    </row>
    <row r="151" spans="1:20" s="4" customFormat="1" ht="15" customHeight="1" x14ac:dyDescent="0.2">
      <c r="A151" s="4">
        <v>2011</v>
      </c>
      <c r="B151" s="4" t="s">
        <v>91</v>
      </c>
      <c r="C151" s="4">
        <v>2</v>
      </c>
      <c r="D151" s="4">
        <v>4</v>
      </c>
      <c r="E151" s="4" t="s">
        <v>7</v>
      </c>
      <c r="F151" s="4" t="s">
        <v>9</v>
      </c>
      <c r="G151" s="4">
        <v>1987</v>
      </c>
      <c r="H151" s="4" t="s">
        <v>10</v>
      </c>
      <c r="I151" s="5">
        <v>1.42</v>
      </c>
      <c r="J151" s="3">
        <v>1532</v>
      </c>
      <c r="K151" s="3">
        <v>1079</v>
      </c>
      <c r="L151" s="3">
        <v>205</v>
      </c>
      <c r="M151" s="5">
        <v>10.59</v>
      </c>
      <c r="N151" s="5">
        <f t="shared" si="9"/>
        <v>7.4577464788732399</v>
      </c>
      <c r="O151" s="5">
        <f t="shared" si="10"/>
        <v>13.825065274151436</v>
      </c>
      <c r="P151" s="8">
        <v>40835</v>
      </c>
      <c r="Q151" s="6">
        <v>20.2</v>
      </c>
      <c r="R151" s="5">
        <v>3.19</v>
      </c>
      <c r="S151" s="6">
        <v>10.8</v>
      </c>
      <c r="T151" s="3"/>
    </row>
    <row r="152" spans="1:20" s="4" customFormat="1" ht="15" customHeight="1" x14ac:dyDescent="0.2">
      <c r="A152" s="4">
        <v>2011</v>
      </c>
      <c r="B152" s="4" t="s">
        <v>91</v>
      </c>
      <c r="C152" s="4">
        <v>2</v>
      </c>
      <c r="D152" s="4">
        <v>5</v>
      </c>
      <c r="E152" s="4" t="s">
        <v>7</v>
      </c>
      <c r="F152" s="4" t="s">
        <v>11</v>
      </c>
      <c r="G152" s="4">
        <v>1993</v>
      </c>
      <c r="H152" s="4" t="s">
        <v>12</v>
      </c>
      <c r="I152" s="5">
        <v>0.48</v>
      </c>
      <c r="J152" s="3">
        <v>800</v>
      </c>
      <c r="K152" s="3">
        <v>1667</v>
      </c>
      <c r="L152" s="3">
        <v>240</v>
      </c>
      <c r="M152" s="5">
        <v>5.5</v>
      </c>
      <c r="N152" s="5">
        <f t="shared" si="9"/>
        <v>11.458333333333334</v>
      </c>
      <c r="O152" s="5">
        <f t="shared" si="10"/>
        <v>13.75</v>
      </c>
      <c r="P152" s="8">
        <v>40835</v>
      </c>
      <c r="Q152" s="6">
        <v>20.2</v>
      </c>
      <c r="R152" s="5">
        <v>3.19</v>
      </c>
      <c r="S152" s="6">
        <v>10.8</v>
      </c>
      <c r="T152" s="3"/>
    </row>
    <row r="153" spans="1:20" s="4" customFormat="1" ht="15" customHeight="1" x14ac:dyDescent="0.2">
      <c r="A153" s="4">
        <v>2011</v>
      </c>
      <c r="B153" s="4" t="s">
        <v>91</v>
      </c>
      <c r="C153" s="4">
        <v>3</v>
      </c>
      <c r="D153" s="4">
        <v>4</v>
      </c>
      <c r="E153" s="4" t="s">
        <v>7</v>
      </c>
      <c r="F153" s="4">
        <v>95</v>
      </c>
      <c r="G153" s="4">
        <v>1996</v>
      </c>
      <c r="H153" s="4" t="s">
        <v>13</v>
      </c>
      <c r="I153" s="5">
        <v>2.4700000000000002</v>
      </c>
      <c r="J153" s="3">
        <v>5000</v>
      </c>
      <c r="K153" s="3">
        <f>SUM(J153/I153)</f>
        <v>2024.2914979757084</v>
      </c>
      <c r="L153" s="3">
        <v>280</v>
      </c>
      <c r="M153" s="5">
        <v>16.63</v>
      </c>
      <c r="N153" s="5">
        <f t="shared" si="9"/>
        <v>6.7327935222672055</v>
      </c>
      <c r="O153" s="5">
        <f t="shared" si="10"/>
        <v>6.6520000000000001</v>
      </c>
      <c r="P153" s="8">
        <v>40833</v>
      </c>
      <c r="Q153" s="6">
        <v>22</v>
      </c>
      <c r="R153" s="5">
        <v>3.33</v>
      </c>
      <c r="S153" s="6">
        <v>8.9</v>
      </c>
      <c r="T153" s="3"/>
    </row>
    <row r="154" spans="1:20" s="4" customFormat="1" ht="15" customHeight="1" x14ac:dyDescent="0.2">
      <c r="A154" s="4">
        <v>2011</v>
      </c>
      <c r="B154" s="4" t="s">
        <v>91</v>
      </c>
      <c r="C154" s="4">
        <v>4</v>
      </c>
      <c r="D154" s="4">
        <v>1</v>
      </c>
      <c r="E154" s="4" t="s">
        <v>7</v>
      </c>
      <c r="F154" s="4">
        <v>95</v>
      </c>
      <c r="G154" s="4">
        <v>2011</v>
      </c>
      <c r="H154" s="4" t="s">
        <v>95</v>
      </c>
      <c r="I154" s="5">
        <v>2.35</v>
      </c>
      <c r="J154" s="3">
        <v>1992</v>
      </c>
      <c r="K154" s="3">
        <f>SUM(J154/I154)</f>
        <v>847.65957446808511</v>
      </c>
      <c r="L154" s="3">
        <v>283</v>
      </c>
      <c r="M154" s="5">
        <v>10.37</v>
      </c>
      <c r="N154" s="5">
        <f t="shared" si="9"/>
        <v>4.4127659574468083</v>
      </c>
      <c r="O154" s="5">
        <f t="shared" si="10"/>
        <v>10.411646586345382</v>
      </c>
      <c r="P154" s="8">
        <v>40835</v>
      </c>
      <c r="Q154" s="6">
        <v>21.2</v>
      </c>
      <c r="R154" s="5">
        <v>3.2</v>
      </c>
      <c r="S154" s="6">
        <v>10.1</v>
      </c>
      <c r="T154" s="3"/>
    </row>
    <row r="155" spans="1:20" s="4" customFormat="1" ht="15" customHeight="1" x14ac:dyDescent="0.2">
      <c r="A155" s="4">
        <v>2011</v>
      </c>
      <c r="B155" s="4" t="s">
        <v>91</v>
      </c>
      <c r="C155" s="4">
        <v>5</v>
      </c>
      <c r="D155" s="4">
        <v>1</v>
      </c>
      <c r="E155" s="4" t="s">
        <v>7</v>
      </c>
      <c r="F155" s="4">
        <v>76</v>
      </c>
      <c r="G155" s="4">
        <v>1997</v>
      </c>
      <c r="H155" s="4" t="s">
        <v>14</v>
      </c>
      <c r="I155" s="5">
        <v>2.1800000000000002</v>
      </c>
      <c r="J155" s="3">
        <v>3000</v>
      </c>
      <c r="K155" s="3">
        <v>1376</v>
      </c>
      <c r="L155" s="3">
        <v>215</v>
      </c>
      <c r="M155" s="5">
        <v>9.6300000000000008</v>
      </c>
      <c r="N155" s="5">
        <f t="shared" ref="N155:N167" si="11">SUM(M155/I155)</f>
        <v>4.4174311926605503</v>
      </c>
      <c r="O155" s="5">
        <f t="shared" ref="O155:O167" si="12">SUM(M155*2000)/J155</f>
        <v>6.42</v>
      </c>
      <c r="P155" s="8">
        <v>40834</v>
      </c>
      <c r="Q155" s="6">
        <v>22.6</v>
      </c>
      <c r="R155" s="5">
        <v>3.33</v>
      </c>
      <c r="S155" s="6">
        <v>8.1999999999999993</v>
      </c>
      <c r="T155" s="3"/>
    </row>
    <row r="156" spans="1:20" s="4" customFormat="1" ht="15" customHeight="1" x14ac:dyDescent="0.2">
      <c r="A156" s="4">
        <v>2011</v>
      </c>
      <c r="B156" s="4" t="s">
        <v>91</v>
      </c>
      <c r="C156" s="4">
        <v>5</v>
      </c>
      <c r="D156" s="4">
        <v>2</v>
      </c>
      <c r="E156" s="4" t="s">
        <v>7</v>
      </c>
      <c r="F156" s="4">
        <v>96</v>
      </c>
      <c r="G156" s="4">
        <v>1997</v>
      </c>
      <c r="H156" s="4" t="s">
        <v>14</v>
      </c>
      <c r="I156" s="5">
        <v>2.1800000000000002</v>
      </c>
      <c r="J156" s="3">
        <v>3000</v>
      </c>
      <c r="K156" s="3">
        <v>1376</v>
      </c>
      <c r="L156" s="3">
        <v>220</v>
      </c>
      <c r="M156" s="5">
        <v>9.6999999999999993</v>
      </c>
      <c r="N156" s="5">
        <f t="shared" si="11"/>
        <v>4.4495412844036695</v>
      </c>
      <c r="O156" s="5">
        <f t="shared" si="12"/>
        <v>6.4666666666666668</v>
      </c>
      <c r="P156" s="8">
        <v>40834</v>
      </c>
      <c r="Q156" s="6">
        <v>21.8</v>
      </c>
      <c r="R156" s="5">
        <v>3.31</v>
      </c>
      <c r="S156" s="6">
        <v>7.6</v>
      </c>
      <c r="T156" s="3"/>
    </row>
    <row r="157" spans="1:20" s="4" customFormat="1" ht="15" customHeight="1" x14ac:dyDescent="0.2">
      <c r="A157" s="4">
        <v>2011</v>
      </c>
      <c r="B157" s="4" t="s">
        <v>91</v>
      </c>
      <c r="C157" s="4">
        <v>5</v>
      </c>
      <c r="D157" s="4">
        <v>3</v>
      </c>
      <c r="E157" s="4" t="s">
        <v>7</v>
      </c>
      <c r="F157" s="4">
        <v>277</v>
      </c>
      <c r="G157" s="4">
        <v>1997</v>
      </c>
      <c r="H157" s="4" t="s">
        <v>14</v>
      </c>
      <c r="I157" s="5">
        <v>2.1800000000000002</v>
      </c>
      <c r="J157" s="3">
        <v>3000</v>
      </c>
      <c r="K157" s="3">
        <v>1376</v>
      </c>
      <c r="L157" s="3">
        <v>220</v>
      </c>
      <c r="M157" s="5">
        <v>7.66</v>
      </c>
      <c r="N157" s="5">
        <f t="shared" si="11"/>
        <v>3.5137614678899083</v>
      </c>
      <c r="O157" s="5">
        <f t="shared" si="12"/>
        <v>5.1066666666666665</v>
      </c>
      <c r="P157" s="8">
        <v>40835</v>
      </c>
      <c r="Q157" s="6">
        <v>21.4</v>
      </c>
      <c r="R157" s="5">
        <v>3.28</v>
      </c>
      <c r="S157" s="6">
        <v>8.1999999999999993</v>
      </c>
      <c r="T157" s="3"/>
    </row>
    <row r="158" spans="1:20" s="4" customFormat="1" ht="15" customHeight="1" x14ac:dyDescent="0.2">
      <c r="A158" s="4">
        <v>2011</v>
      </c>
      <c r="B158" s="4" t="s">
        <v>91</v>
      </c>
      <c r="C158" s="4">
        <v>5</v>
      </c>
      <c r="D158" s="4">
        <v>4</v>
      </c>
      <c r="E158" s="4" t="s">
        <v>7</v>
      </c>
      <c r="F158" s="4">
        <v>809</v>
      </c>
      <c r="G158" s="4">
        <v>1997</v>
      </c>
      <c r="H158" s="4" t="s">
        <v>14</v>
      </c>
      <c r="I158" s="5">
        <v>0.73</v>
      </c>
      <c r="J158" s="3">
        <v>1000</v>
      </c>
      <c r="K158" s="3">
        <v>1370</v>
      </c>
      <c r="L158" s="3"/>
      <c r="M158" s="5">
        <v>4.6399999999999997</v>
      </c>
      <c r="N158" s="5">
        <f t="shared" si="11"/>
        <v>6.3561643835616435</v>
      </c>
      <c r="O158" s="5">
        <f t="shared" si="12"/>
        <v>9.2799999999999994</v>
      </c>
      <c r="P158" s="8">
        <v>40835</v>
      </c>
      <c r="Q158" s="6">
        <v>21.4</v>
      </c>
      <c r="R158" s="5">
        <v>3.24</v>
      </c>
      <c r="S158" s="6">
        <v>8.6999999999999993</v>
      </c>
      <c r="T158" s="3"/>
    </row>
    <row r="159" spans="1:20" s="4" customFormat="1" ht="15" customHeight="1" x14ac:dyDescent="0.2">
      <c r="A159" s="4">
        <v>2012</v>
      </c>
      <c r="B159" s="4" t="s">
        <v>91</v>
      </c>
      <c r="C159" s="4">
        <v>1</v>
      </c>
      <c r="D159" s="4">
        <v>2</v>
      </c>
      <c r="E159" s="4" t="s">
        <v>7</v>
      </c>
      <c r="F159" s="4">
        <v>548</v>
      </c>
      <c r="G159" s="4">
        <v>1996</v>
      </c>
      <c r="H159" s="4" t="s">
        <v>8</v>
      </c>
      <c r="I159" s="5">
        <v>1.98</v>
      </c>
      <c r="J159" s="3">
        <v>4000</v>
      </c>
      <c r="K159" s="3">
        <v>2020</v>
      </c>
      <c r="L159" s="3">
        <v>180</v>
      </c>
      <c r="M159" s="5">
        <v>4.2699999999999996</v>
      </c>
      <c r="N159" s="5">
        <f t="shared" si="11"/>
        <v>2.1565656565656566</v>
      </c>
      <c r="O159" s="5">
        <f t="shared" si="12"/>
        <v>2.1349999999999998</v>
      </c>
      <c r="P159" s="8">
        <v>41185</v>
      </c>
      <c r="Q159" s="6">
        <v>24.4</v>
      </c>
      <c r="R159" s="5">
        <v>3.39</v>
      </c>
      <c r="S159" s="6">
        <v>7.95</v>
      </c>
      <c r="T159" s="3"/>
    </row>
    <row r="160" spans="1:20" s="4" customFormat="1" ht="15" customHeight="1" x14ac:dyDescent="0.2">
      <c r="A160" s="4">
        <v>2012</v>
      </c>
      <c r="B160" s="4" t="s">
        <v>91</v>
      </c>
      <c r="C160" s="4">
        <v>2</v>
      </c>
      <c r="D160" s="4">
        <v>4</v>
      </c>
      <c r="E160" s="4" t="s">
        <v>7</v>
      </c>
      <c r="F160" s="4" t="s">
        <v>9</v>
      </c>
      <c r="G160" s="4">
        <v>1987</v>
      </c>
      <c r="H160" s="4" t="s">
        <v>10</v>
      </c>
      <c r="I160" s="5">
        <v>1.42</v>
      </c>
      <c r="J160" s="3">
        <v>1532</v>
      </c>
      <c r="K160" s="3">
        <v>1079</v>
      </c>
      <c r="L160" s="3">
        <v>200</v>
      </c>
      <c r="M160" s="5">
        <v>16.329999999999998</v>
      </c>
      <c r="N160" s="5">
        <f t="shared" si="11"/>
        <v>11.5</v>
      </c>
      <c r="O160" s="5">
        <f t="shared" si="12"/>
        <v>21.318537859007829</v>
      </c>
      <c r="P160" s="8">
        <v>41188</v>
      </c>
      <c r="Q160" s="6">
        <f>(20.2+20.2+21.6)/3</f>
        <v>20.666666666666668</v>
      </c>
      <c r="R160" s="5">
        <f>(3.15+3.26+3.27)/3</f>
        <v>3.2266666666666666</v>
      </c>
      <c r="S160" s="6">
        <f>(9.6+10.8+10.8)/3</f>
        <v>10.4</v>
      </c>
      <c r="T160" s="3"/>
    </row>
    <row r="161" spans="1:20" s="4" customFormat="1" ht="15" customHeight="1" x14ac:dyDescent="0.2">
      <c r="A161" s="4">
        <v>2012</v>
      </c>
      <c r="B161" s="4" t="s">
        <v>91</v>
      </c>
      <c r="C161" s="4">
        <v>2</v>
      </c>
      <c r="D161" s="4">
        <v>5</v>
      </c>
      <c r="E161" s="4" t="s">
        <v>7</v>
      </c>
      <c r="F161" s="4" t="s">
        <v>11</v>
      </c>
      <c r="G161" s="4">
        <v>1993</v>
      </c>
      <c r="H161" s="4" t="s">
        <v>12</v>
      </c>
      <c r="I161" s="5">
        <v>0.48</v>
      </c>
      <c r="J161" s="3">
        <v>800</v>
      </c>
      <c r="K161" s="3">
        <v>1667</v>
      </c>
      <c r="L161" s="3"/>
      <c r="M161" s="5"/>
      <c r="N161" s="5">
        <f t="shared" si="11"/>
        <v>0</v>
      </c>
      <c r="O161" s="5">
        <f t="shared" si="12"/>
        <v>0</v>
      </c>
      <c r="P161" s="8"/>
      <c r="Q161" s="6"/>
      <c r="R161" s="5"/>
      <c r="S161" s="6"/>
      <c r="T161" s="3"/>
    </row>
    <row r="162" spans="1:20" s="4" customFormat="1" ht="15" customHeight="1" x14ac:dyDescent="0.2">
      <c r="A162" s="4">
        <v>2012</v>
      </c>
      <c r="B162" s="4" t="s">
        <v>91</v>
      </c>
      <c r="C162" s="4">
        <v>3</v>
      </c>
      <c r="D162" s="4">
        <v>4</v>
      </c>
      <c r="E162" s="4" t="s">
        <v>7</v>
      </c>
      <c r="F162" s="4">
        <v>95</v>
      </c>
      <c r="G162" s="4">
        <v>1996</v>
      </c>
      <c r="H162" s="4" t="s">
        <v>13</v>
      </c>
      <c r="I162" s="5">
        <v>2.4700000000000002</v>
      </c>
      <c r="J162" s="3">
        <v>5000</v>
      </c>
      <c r="K162" s="3">
        <f>SUM(J162/I162)</f>
        <v>2024.2914979757084</v>
      </c>
      <c r="L162" s="3">
        <v>165</v>
      </c>
      <c r="M162" s="5">
        <v>11.06</v>
      </c>
      <c r="N162" s="5">
        <f t="shared" si="11"/>
        <v>4.4777327935222671</v>
      </c>
      <c r="O162" s="5">
        <f t="shared" si="12"/>
        <v>4.4240000000000004</v>
      </c>
      <c r="P162" s="8">
        <v>41184</v>
      </c>
      <c r="Q162" s="6">
        <f>(24+24)/2</f>
        <v>24</v>
      </c>
      <c r="R162" s="5">
        <f>(3.41+3.45)/2</f>
        <v>3.43</v>
      </c>
      <c r="S162" s="6">
        <f>(7.2+7.35)/2</f>
        <v>7.2750000000000004</v>
      </c>
      <c r="T162" s="3"/>
    </row>
    <row r="163" spans="1:20" s="4" customFormat="1" ht="15" customHeight="1" x14ac:dyDescent="0.2">
      <c r="A163" s="4">
        <v>2012</v>
      </c>
      <c r="B163" s="4" t="s">
        <v>91</v>
      </c>
      <c r="C163" s="4">
        <v>4</v>
      </c>
      <c r="D163" s="4">
        <v>1</v>
      </c>
      <c r="E163" s="4" t="s">
        <v>7</v>
      </c>
      <c r="F163" s="4">
        <v>95</v>
      </c>
      <c r="G163" s="4">
        <v>2011</v>
      </c>
      <c r="H163" s="4" t="s">
        <v>96</v>
      </c>
      <c r="I163" s="5">
        <v>2.35</v>
      </c>
      <c r="J163" s="3">
        <v>1992</v>
      </c>
      <c r="K163" s="3">
        <f>SUM(J163/I163)</f>
        <v>847.65957446808511</v>
      </c>
      <c r="L163" s="3">
        <v>250</v>
      </c>
      <c r="M163" s="5">
        <v>11.1</v>
      </c>
      <c r="N163" s="5">
        <f t="shared" si="11"/>
        <v>4.7234042553191484</v>
      </c>
      <c r="O163" s="5">
        <f t="shared" si="12"/>
        <v>11.144578313253012</v>
      </c>
      <c r="P163" s="8">
        <v>41185</v>
      </c>
      <c r="Q163" s="6">
        <v>23.2</v>
      </c>
      <c r="R163" s="5">
        <v>3.27</v>
      </c>
      <c r="S163" s="6">
        <v>8.9</v>
      </c>
      <c r="T163" s="3"/>
    </row>
    <row r="164" spans="1:20" s="4" customFormat="1" ht="15" customHeight="1" x14ac:dyDescent="0.2">
      <c r="A164" s="4">
        <v>2012</v>
      </c>
      <c r="B164" s="4" t="s">
        <v>91</v>
      </c>
      <c r="C164" s="4">
        <v>5</v>
      </c>
      <c r="D164" s="4">
        <v>1</v>
      </c>
      <c r="E164" s="4" t="s">
        <v>7</v>
      </c>
      <c r="F164" s="4">
        <v>76</v>
      </c>
      <c r="G164" s="4">
        <v>1997</v>
      </c>
      <c r="H164" s="4" t="s">
        <v>14</v>
      </c>
      <c r="I164" s="5">
        <v>2.1800000000000002</v>
      </c>
      <c r="J164" s="3">
        <v>3000</v>
      </c>
      <c r="K164" s="3">
        <v>1376</v>
      </c>
      <c r="L164" s="3">
        <f>(200+185)/2</f>
        <v>192.5</v>
      </c>
      <c r="M164" s="5">
        <f>2.71+5.66</f>
        <v>8.370000000000001</v>
      </c>
      <c r="N164" s="5">
        <f t="shared" si="11"/>
        <v>3.8394495412844036</v>
      </c>
      <c r="O164" s="5">
        <f t="shared" si="12"/>
        <v>5.580000000000001</v>
      </c>
      <c r="P164" s="8">
        <v>41184</v>
      </c>
      <c r="Q164" s="6">
        <v>23.4</v>
      </c>
      <c r="R164" s="5">
        <v>3.45</v>
      </c>
      <c r="S164" s="6">
        <v>7.5</v>
      </c>
      <c r="T164" s="3"/>
    </row>
    <row r="165" spans="1:20" s="4" customFormat="1" ht="15" customHeight="1" x14ac:dyDescent="0.2">
      <c r="A165" s="4">
        <v>2012</v>
      </c>
      <c r="B165" s="4" t="s">
        <v>91</v>
      </c>
      <c r="C165" s="4">
        <v>5</v>
      </c>
      <c r="D165" s="4">
        <v>2</v>
      </c>
      <c r="E165" s="4" t="s">
        <v>7</v>
      </c>
      <c r="F165" s="4">
        <v>96</v>
      </c>
      <c r="G165" s="4">
        <v>1997</v>
      </c>
      <c r="H165" s="4" t="s">
        <v>14</v>
      </c>
      <c r="I165" s="5">
        <v>2.1800000000000002</v>
      </c>
      <c r="J165" s="3">
        <v>3000</v>
      </c>
      <c r="K165" s="3">
        <v>1376</v>
      </c>
      <c r="L165" s="3">
        <f>(220+188)/2</f>
        <v>204</v>
      </c>
      <c r="M165" s="5">
        <f>3.91+6.17</f>
        <v>10.08</v>
      </c>
      <c r="N165" s="5">
        <f t="shared" si="11"/>
        <v>4.6238532110091741</v>
      </c>
      <c r="O165" s="5">
        <f t="shared" si="12"/>
        <v>6.72</v>
      </c>
      <c r="P165" s="8">
        <v>41184</v>
      </c>
      <c r="Q165" s="6">
        <v>23</v>
      </c>
      <c r="R165" s="5">
        <v>3.36</v>
      </c>
      <c r="S165" s="6">
        <v>7.12</v>
      </c>
      <c r="T165" s="3"/>
    </row>
    <row r="166" spans="1:20" s="4" customFormat="1" ht="15" customHeight="1" x14ac:dyDescent="0.2">
      <c r="A166" s="4">
        <v>2012</v>
      </c>
      <c r="B166" s="4" t="s">
        <v>91</v>
      </c>
      <c r="C166" s="4">
        <v>5</v>
      </c>
      <c r="D166" s="4">
        <v>3</v>
      </c>
      <c r="E166" s="4" t="s">
        <v>7</v>
      </c>
      <c r="F166" s="4">
        <v>277</v>
      </c>
      <c r="G166" s="4">
        <v>1997</v>
      </c>
      <c r="H166" s="4" t="s">
        <v>14</v>
      </c>
      <c r="I166" s="5">
        <v>2.1800000000000002</v>
      </c>
      <c r="J166" s="3">
        <v>3000</v>
      </c>
      <c r="K166" s="3">
        <v>1376</v>
      </c>
      <c r="L166" s="3">
        <f>(195+163)/2</f>
        <v>179</v>
      </c>
      <c r="M166" s="5">
        <f>5.06+2.83</f>
        <v>7.89</v>
      </c>
      <c r="N166" s="5">
        <f t="shared" si="11"/>
        <v>3.6192660550458711</v>
      </c>
      <c r="O166" s="5">
        <f t="shared" si="12"/>
        <v>5.26</v>
      </c>
      <c r="P166" s="8">
        <v>41184</v>
      </c>
      <c r="Q166" s="6">
        <v>23</v>
      </c>
      <c r="R166" s="5">
        <v>3.41</v>
      </c>
      <c r="S166" s="6">
        <v>7.87</v>
      </c>
      <c r="T166" s="3"/>
    </row>
    <row r="167" spans="1:20" s="4" customFormat="1" ht="15" customHeight="1" x14ac:dyDescent="0.2">
      <c r="A167" s="4">
        <v>2012</v>
      </c>
      <c r="B167" s="4" t="s">
        <v>91</v>
      </c>
      <c r="C167" s="4">
        <v>5</v>
      </c>
      <c r="D167" s="4">
        <v>4</v>
      </c>
      <c r="E167" s="4" t="s">
        <v>7</v>
      </c>
      <c r="F167" s="4">
        <v>809</v>
      </c>
      <c r="G167" s="4">
        <v>1997</v>
      </c>
      <c r="H167" s="4" t="s">
        <v>14</v>
      </c>
      <c r="I167" s="5">
        <v>0.73</v>
      </c>
      <c r="J167" s="3">
        <v>1000</v>
      </c>
      <c r="K167" s="3">
        <v>1370</v>
      </c>
      <c r="L167" s="3"/>
      <c r="M167" s="5">
        <f>0.9+1.94+0.44</f>
        <v>3.28</v>
      </c>
      <c r="N167" s="5">
        <f t="shared" si="11"/>
        <v>4.493150684931507</v>
      </c>
      <c r="O167" s="5">
        <f t="shared" si="12"/>
        <v>6.56</v>
      </c>
      <c r="P167" s="8">
        <v>41185</v>
      </c>
      <c r="Q167" s="6">
        <f>(22+22.4)/2</f>
        <v>22.2</v>
      </c>
      <c r="R167" s="5">
        <f>(3.2+3.25)/2</f>
        <v>3.2250000000000001</v>
      </c>
      <c r="S167" s="6">
        <f>(8.9+8.8)/2</f>
        <v>8.8500000000000014</v>
      </c>
      <c r="T167" s="3"/>
    </row>
    <row r="168" spans="1:20" s="4" customFormat="1" ht="15" customHeight="1" x14ac:dyDescent="0.2">
      <c r="A168" s="4">
        <v>2012</v>
      </c>
      <c r="B168" s="4" t="s">
        <v>132</v>
      </c>
      <c r="C168" s="4" t="s">
        <v>135</v>
      </c>
      <c r="E168" s="4" t="s">
        <v>7</v>
      </c>
      <c r="I168" s="5"/>
      <c r="K168" s="3"/>
      <c r="L168" s="3"/>
      <c r="M168" s="5">
        <v>7.2</v>
      </c>
      <c r="N168" s="5"/>
      <c r="O168" s="5"/>
      <c r="P168" s="8">
        <v>41200</v>
      </c>
      <c r="Q168" s="6">
        <v>20.100000000000001</v>
      </c>
      <c r="R168" s="5">
        <v>3.3</v>
      </c>
      <c r="S168" s="6">
        <v>9.0299999999999994</v>
      </c>
      <c r="T168" s="3"/>
    </row>
    <row r="169" spans="1:20" s="4" customFormat="1" ht="15" customHeight="1" x14ac:dyDescent="0.2">
      <c r="A169" s="4">
        <v>2007</v>
      </c>
      <c r="B169" s="4" t="s">
        <v>97</v>
      </c>
      <c r="C169" s="4">
        <v>3</v>
      </c>
      <c r="D169" s="4">
        <v>2</v>
      </c>
      <c r="E169" s="4" t="s">
        <v>16</v>
      </c>
      <c r="F169" s="4">
        <v>96</v>
      </c>
      <c r="G169" s="4">
        <v>2006</v>
      </c>
      <c r="H169" s="4" t="s">
        <v>34</v>
      </c>
      <c r="I169" s="5">
        <v>0.74</v>
      </c>
      <c r="J169" s="4">
        <v>5151</v>
      </c>
      <c r="K169" s="3">
        <v>1710</v>
      </c>
      <c r="L169" s="3"/>
      <c r="M169" s="5">
        <v>1.6</v>
      </c>
      <c r="N169" s="5">
        <f>SUM(M169/I169)</f>
        <v>2.1621621621621623</v>
      </c>
      <c r="O169" s="5">
        <f>SUM(M169*2000)/J169</f>
        <v>0.62123859444768004</v>
      </c>
      <c r="Q169" s="6"/>
      <c r="R169" s="5"/>
      <c r="S169" s="6"/>
      <c r="T169" s="3"/>
    </row>
    <row r="170" spans="1:20" s="4" customFormat="1" ht="15" customHeight="1" x14ac:dyDescent="0.2">
      <c r="A170" s="4">
        <v>2008</v>
      </c>
      <c r="B170" s="4" t="s">
        <v>97</v>
      </c>
      <c r="C170" s="4">
        <v>3</v>
      </c>
      <c r="D170" s="4">
        <v>2</v>
      </c>
      <c r="E170" s="4" t="s">
        <v>16</v>
      </c>
      <c r="F170" s="4">
        <v>96</v>
      </c>
      <c r="G170" s="4">
        <v>2006</v>
      </c>
      <c r="H170" s="4" t="s">
        <v>34</v>
      </c>
      <c r="I170" s="5">
        <v>3.29</v>
      </c>
      <c r="J170" s="4">
        <v>5151</v>
      </c>
      <c r="K170" s="3">
        <v>1710</v>
      </c>
      <c r="L170" s="3"/>
      <c r="M170" s="5">
        <v>19.5</v>
      </c>
      <c r="N170" s="5">
        <f>SUM(M170/I170)</f>
        <v>5.9270516717325226</v>
      </c>
      <c r="O170" s="5">
        <f>SUM(M170*2000)/J170</f>
        <v>7.5713453698311008</v>
      </c>
      <c r="P170" s="8">
        <v>39742</v>
      </c>
      <c r="Q170" s="6">
        <v>18.8</v>
      </c>
      <c r="R170" s="5">
        <v>3.45</v>
      </c>
      <c r="S170" s="6">
        <v>7.8</v>
      </c>
      <c r="T170" s="3"/>
    </row>
    <row r="171" spans="1:20" s="4" customFormat="1" ht="15" customHeight="1" x14ac:dyDescent="0.2">
      <c r="A171" s="4">
        <v>2008</v>
      </c>
      <c r="B171" s="4" t="s">
        <v>97</v>
      </c>
      <c r="C171" s="4">
        <v>3</v>
      </c>
      <c r="D171" s="4">
        <v>3</v>
      </c>
      <c r="E171" s="4" t="s">
        <v>16</v>
      </c>
      <c r="F171" s="4">
        <v>76</v>
      </c>
      <c r="G171" s="4">
        <v>2006</v>
      </c>
      <c r="H171" s="4" t="s">
        <v>34</v>
      </c>
      <c r="I171" s="5">
        <v>0</v>
      </c>
      <c r="J171" s="4">
        <v>1266</v>
      </c>
      <c r="K171" s="3">
        <v>1565</v>
      </c>
      <c r="L171" s="3"/>
      <c r="M171" s="5"/>
      <c r="N171" s="5"/>
      <c r="O171" s="5"/>
      <c r="P171" s="8"/>
      <c r="Q171" s="6"/>
      <c r="R171" s="5"/>
      <c r="S171" s="6"/>
      <c r="T171" s="3"/>
    </row>
    <row r="172" spans="1:20" s="4" customFormat="1" ht="15" customHeight="1" x14ac:dyDescent="0.2">
      <c r="A172" s="4">
        <v>2009</v>
      </c>
      <c r="B172" s="4" t="s">
        <v>97</v>
      </c>
      <c r="C172" s="4">
        <v>3</v>
      </c>
      <c r="D172" s="4">
        <v>2</v>
      </c>
      <c r="E172" s="4" t="s">
        <v>16</v>
      </c>
      <c r="F172" s="4">
        <v>96</v>
      </c>
      <c r="G172" s="4">
        <v>2006</v>
      </c>
      <c r="H172" s="4" t="s">
        <v>34</v>
      </c>
      <c r="I172" s="5">
        <v>0.74</v>
      </c>
      <c r="J172" s="4">
        <v>5151</v>
      </c>
      <c r="K172" s="3">
        <v>1710</v>
      </c>
      <c r="L172" s="3"/>
      <c r="M172" s="5"/>
      <c r="N172" s="5">
        <f>SUM(M172/I172)</f>
        <v>0</v>
      </c>
      <c r="O172" s="5">
        <f>SUM(M172*2000)/J172</f>
        <v>0</v>
      </c>
      <c r="P172" s="8"/>
      <c r="Q172" s="6"/>
      <c r="R172" s="5"/>
      <c r="S172" s="6"/>
      <c r="T172" s="3"/>
    </row>
    <row r="173" spans="1:20" s="4" customFormat="1" ht="15" customHeight="1" x14ac:dyDescent="0.2">
      <c r="A173" s="4">
        <v>2009</v>
      </c>
      <c r="B173" s="4" t="s">
        <v>97</v>
      </c>
      <c r="C173" s="4">
        <v>3</v>
      </c>
      <c r="D173" s="4">
        <v>3</v>
      </c>
      <c r="E173" s="4" t="s">
        <v>16</v>
      </c>
      <c r="F173" s="4">
        <v>76</v>
      </c>
      <c r="G173" s="4">
        <v>2006</v>
      </c>
      <c r="H173" s="4" t="s">
        <v>34</v>
      </c>
      <c r="I173" s="5">
        <v>3.29</v>
      </c>
      <c r="J173" s="4">
        <v>1266</v>
      </c>
      <c r="K173" s="3">
        <v>1565</v>
      </c>
      <c r="L173" s="3"/>
      <c r="M173" s="5">
        <v>8.8000000000000007</v>
      </c>
      <c r="N173" s="5">
        <f>SUM(M173/I173)</f>
        <v>2.6747720364741645</v>
      </c>
      <c r="O173" s="5">
        <f>SUM(M173*2000)/J173</f>
        <v>13.902053712480253</v>
      </c>
      <c r="P173" s="8">
        <v>40100</v>
      </c>
      <c r="Q173" s="6">
        <v>20.8</v>
      </c>
      <c r="R173" s="5">
        <v>3.68</v>
      </c>
      <c r="S173" s="6">
        <v>6</v>
      </c>
      <c r="T173" s="3"/>
    </row>
    <row r="174" spans="1:20" s="4" customFormat="1" ht="15" customHeight="1" x14ac:dyDescent="0.2">
      <c r="A174" s="4">
        <v>2010</v>
      </c>
      <c r="B174" s="4" t="s">
        <v>97</v>
      </c>
      <c r="C174" s="4">
        <v>3</v>
      </c>
      <c r="D174" s="4">
        <v>2</v>
      </c>
      <c r="E174" s="4" t="s">
        <v>16</v>
      </c>
      <c r="F174" s="4">
        <v>96</v>
      </c>
      <c r="G174" s="4">
        <v>2006</v>
      </c>
      <c r="H174" s="4" t="s">
        <v>34</v>
      </c>
      <c r="I174" s="5">
        <v>0.74</v>
      </c>
      <c r="J174" s="4">
        <v>5151</v>
      </c>
      <c r="K174" s="3">
        <v>1710</v>
      </c>
      <c r="L174" s="3">
        <v>290</v>
      </c>
      <c r="M174" s="5">
        <v>21.9</v>
      </c>
      <c r="N174" s="5">
        <f>SUM(M174/I174)</f>
        <v>29.594594594594593</v>
      </c>
      <c r="O174" s="5">
        <f>SUM(M174*2000)/J174</f>
        <v>8.5032032615026214</v>
      </c>
      <c r="P174" s="8">
        <v>40475</v>
      </c>
      <c r="Q174" s="6">
        <v>16.8</v>
      </c>
      <c r="R174" s="5">
        <v>3.25</v>
      </c>
      <c r="S174" s="6">
        <v>9.8000000000000007</v>
      </c>
      <c r="T174" s="3"/>
    </row>
    <row r="175" spans="1:20" s="4" customFormat="1" ht="15" customHeight="1" x14ac:dyDescent="0.2">
      <c r="A175" s="4">
        <v>2010</v>
      </c>
      <c r="B175" s="4" t="s">
        <v>97</v>
      </c>
      <c r="C175" s="4">
        <v>3</v>
      </c>
      <c r="D175" s="4">
        <v>3</v>
      </c>
      <c r="E175" s="4" t="s">
        <v>16</v>
      </c>
      <c r="F175" s="4">
        <v>76</v>
      </c>
      <c r="G175" s="4">
        <v>2006</v>
      </c>
      <c r="H175" s="4" t="s">
        <v>34</v>
      </c>
      <c r="I175" s="5">
        <v>3.29</v>
      </c>
      <c r="J175" s="4">
        <v>1266</v>
      </c>
      <c r="K175" s="3">
        <v>1565</v>
      </c>
      <c r="L175" s="3">
        <v>183</v>
      </c>
      <c r="M175" s="5">
        <v>11.8</v>
      </c>
      <c r="N175" s="5">
        <f>SUM(M175/I175)</f>
        <v>3.5866261398176293</v>
      </c>
      <c r="O175" s="5">
        <f>SUM(M175*2000)/J175</f>
        <v>18.641390205371248</v>
      </c>
      <c r="P175" s="8">
        <v>40474</v>
      </c>
      <c r="Q175" s="6">
        <v>20.8</v>
      </c>
      <c r="R175" s="5">
        <v>3.37</v>
      </c>
      <c r="S175" s="6">
        <v>7.9</v>
      </c>
      <c r="T175" s="3"/>
    </row>
    <row r="176" spans="1:20" s="4" customFormat="1" ht="15" customHeight="1" x14ac:dyDescent="0.2">
      <c r="A176" s="4">
        <v>2011</v>
      </c>
      <c r="B176" s="4" t="s">
        <v>97</v>
      </c>
      <c r="C176" s="4">
        <v>3</v>
      </c>
      <c r="D176" s="4">
        <v>2</v>
      </c>
      <c r="E176" s="4" t="s">
        <v>16</v>
      </c>
      <c r="F176" s="4">
        <v>96</v>
      </c>
      <c r="G176" s="4">
        <v>2006</v>
      </c>
      <c r="H176" s="4" t="s">
        <v>34</v>
      </c>
      <c r="I176" s="5">
        <v>0.74</v>
      </c>
      <c r="J176" s="4">
        <v>5151</v>
      </c>
      <c r="K176" s="3">
        <v>1710</v>
      </c>
      <c r="L176" s="3"/>
      <c r="M176" s="5"/>
      <c r="N176" s="5">
        <f>SUM(M176/I176)</f>
        <v>0</v>
      </c>
      <c r="O176" s="5">
        <f>SUM(M176*2000)/J176</f>
        <v>0</v>
      </c>
      <c r="P176" s="8"/>
      <c r="Q176" s="6"/>
      <c r="R176" s="5"/>
      <c r="S176" s="6"/>
      <c r="T176" s="3"/>
    </row>
    <row r="177" spans="1:20" s="4" customFormat="1" ht="15" customHeight="1" x14ac:dyDescent="0.2">
      <c r="A177" s="4">
        <v>2011</v>
      </c>
      <c r="B177" s="4" t="s">
        <v>97</v>
      </c>
      <c r="C177" s="4">
        <v>3</v>
      </c>
      <c r="D177" s="4">
        <v>3</v>
      </c>
      <c r="E177" s="4" t="s">
        <v>16</v>
      </c>
      <c r="F177" s="4">
        <v>76</v>
      </c>
      <c r="G177" s="4">
        <v>2006</v>
      </c>
      <c r="H177" s="4" t="s">
        <v>34</v>
      </c>
      <c r="I177" s="5">
        <v>3.29</v>
      </c>
      <c r="J177" s="4">
        <v>1266</v>
      </c>
      <c r="K177" s="3">
        <v>1565</v>
      </c>
      <c r="L177" s="3">
        <v>300</v>
      </c>
      <c r="M177" s="5">
        <v>19.45</v>
      </c>
      <c r="N177" s="5"/>
      <c r="O177" s="5"/>
      <c r="P177" s="8">
        <v>40850</v>
      </c>
      <c r="Q177" s="6">
        <v>19.8</v>
      </c>
      <c r="R177" s="5">
        <v>3.42</v>
      </c>
      <c r="S177" s="6">
        <v>6.45</v>
      </c>
      <c r="T177" s="3"/>
    </row>
    <row r="178" spans="1:20" s="4" customFormat="1" ht="15" customHeight="1" x14ac:dyDescent="0.2">
      <c r="A178" s="4">
        <v>2012</v>
      </c>
      <c r="B178" s="4" t="s">
        <v>97</v>
      </c>
      <c r="C178" s="4">
        <v>3</v>
      </c>
      <c r="D178" s="4">
        <v>2</v>
      </c>
      <c r="E178" s="4" t="s">
        <v>16</v>
      </c>
      <c r="F178" s="4">
        <v>96</v>
      </c>
      <c r="G178" s="4">
        <v>2006</v>
      </c>
      <c r="H178" s="4" t="s">
        <v>34</v>
      </c>
      <c r="I178" s="5">
        <v>0.74</v>
      </c>
      <c r="J178" s="4">
        <v>5151</v>
      </c>
      <c r="K178" s="3">
        <v>1710</v>
      </c>
      <c r="L178" s="3"/>
      <c r="M178" s="5"/>
      <c r="N178" s="5">
        <f>SUM(M178/I178)</f>
        <v>0</v>
      </c>
      <c r="O178" s="5">
        <f>SUM(M178*2000)/J178</f>
        <v>0</v>
      </c>
      <c r="P178" s="8"/>
      <c r="Q178" s="6"/>
      <c r="R178" s="5"/>
      <c r="S178" s="6"/>
      <c r="T178" s="3"/>
    </row>
    <row r="179" spans="1:20" s="4" customFormat="1" ht="15" customHeight="1" x14ac:dyDescent="0.2">
      <c r="A179" s="4">
        <v>2012</v>
      </c>
      <c r="B179" s="4" t="s">
        <v>97</v>
      </c>
      <c r="C179" s="4">
        <v>3</v>
      </c>
      <c r="D179" s="4">
        <v>3</v>
      </c>
      <c r="E179" s="4" t="s">
        <v>16</v>
      </c>
      <c r="F179" s="4">
        <v>76</v>
      </c>
      <c r="G179" s="4">
        <v>2006</v>
      </c>
      <c r="H179" s="4" t="s">
        <v>34</v>
      </c>
      <c r="I179" s="5">
        <v>3.29</v>
      </c>
      <c r="J179" s="4">
        <v>1266</v>
      </c>
      <c r="K179" s="3">
        <v>1565</v>
      </c>
      <c r="L179" s="3">
        <v>488</v>
      </c>
      <c r="M179" s="5">
        <v>40.79</v>
      </c>
      <c r="N179" s="5"/>
      <c r="O179" s="5"/>
      <c r="P179" s="8">
        <v>41202</v>
      </c>
      <c r="Q179" s="6">
        <f>(19.6+17+16+16+15.6)/5</f>
        <v>16.839999999999996</v>
      </c>
      <c r="R179" s="5">
        <f>(3.23+3.5+3.31+3.28+3.27)/5</f>
        <v>3.3180000000000001</v>
      </c>
      <c r="S179" s="6">
        <f>(9.15+6.19+7.8+8.37+7.56)/5</f>
        <v>7.8140000000000001</v>
      </c>
      <c r="T179" s="3"/>
    </row>
    <row r="180" spans="1:20" s="4" customFormat="1" ht="15" customHeight="1" x14ac:dyDescent="0.2">
      <c r="A180" s="4">
        <v>2000</v>
      </c>
      <c r="B180" s="4" t="s">
        <v>91</v>
      </c>
      <c r="C180" s="4" t="s">
        <v>136</v>
      </c>
      <c r="D180" s="4" t="s">
        <v>137</v>
      </c>
      <c r="E180" s="4" t="s">
        <v>16</v>
      </c>
      <c r="F180" s="4" t="s">
        <v>9</v>
      </c>
      <c r="G180" s="4" t="s">
        <v>17</v>
      </c>
      <c r="H180" s="4" t="s">
        <v>18</v>
      </c>
      <c r="I180" s="5">
        <v>5.31</v>
      </c>
      <c r="J180" s="3">
        <v>3704</v>
      </c>
      <c r="K180" s="3">
        <f>SUM(J180/I180)</f>
        <v>697.5517890772129</v>
      </c>
      <c r="L180" s="3">
        <v>226</v>
      </c>
      <c r="M180" s="5">
        <v>37.24</v>
      </c>
      <c r="N180" s="5">
        <f t="shared" ref="N180:N200" si="13">SUM(M180/I180)</f>
        <v>7.0131826741996246</v>
      </c>
      <c r="O180" s="5">
        <f t="shared" ref="O180:O200" si="14">SUM(M180*2000)/J180</f>
        <v>20.107991360691145</v>
      </c>
      <c r="P180" s="8">
        <v>36811</v>
      </c>
      <c r="Q180" s="6">
        <v>15.6</v>
      </c>
      <c r="R180" s="5">
        <v>3.12</v>
      </c>
      <c r="S180" s="6">
        <v>10.6</v>
      </c>
      <c r="T180" s="3"/>
    </row>
    <row r="181" spans="1:20" s="4" customFormat="1" ht="15" customHeight="1" x14ac:dyDescent="0.2">
      <c r="A181" s="4">
        <v>2001</v>
      </c>
      <c r="B181" s="4" t="s">
        <v>91</v>
      </c>
      <c r="C181" s="4" t="s">
        <v>136</v>
      </c>
      <c r="D181" s="4" t="s">
        <v>137</v>
      </c>
      <c r="E181" s="4" t="s">
        <v>16</v>
      </c>
      <c r="F181" s="4" t="s">
        <v>9</v>
      </c>
      <c r="G181" s="4" t="s">
        <v>17</v>
      </c>
      <c r="H181" s="4" t="s">
        <v>18</v>
      </c>
      <c r="I181" s="5">
        <v>5.31</v>
      </c>
      <c r="J181" s="3">
        <v>3704</v>
      </c>
      <c r="K181" s="3">
        <f>SUM(J181/I181)</f>
        <v>697.5517890772129</v>
      </c>
      <c r="L181" s="3">
        <v>250</v>
      </c>
      <c r="M181" s="5">
        <v>46.06</v>
      </c>
      <c r="N181" s="5">
        <f t="shared" si="13"/>
        <v>8.6741996233521661</v>
      </c>
      <c r="O181" s="5">
        <f t="shared" si="14"/>
        <v>24.870410367170628</v>
      </c>
      <c r="P181" s="8">
        <v>37533</v>
      </c>
      <c r="Q181" s="6">
        <v>15.2</v>
      </c>
      <c r="R181" s="5">
        <v>3.2</v>
      </c>
      <c r="S181" s="6">
        <v>8.8000000000000007</v>
      </c>
      <c r="T181" s="3"/>
    </row>
    <row r="182" spans="1:20" s="4" customFormat="1" ht="15" customHeight="1" x14ac:dyDescent="0.2">
      <c r="A182" s="4">
        <v>2002</v>
      </c>
      <c r="B182" s="4" t="s">
        <v>91</v>
      </c>
      <c r="C182" s="4" t="s">
        <v>136</v>
      </c>
      <c r="D182" s="4" t="s">
        <v>137</v>
      </c>
      <c r="E182" s="4" t="s">
        <v>16</v>
      </c>
      <c r="F182" s="4" t="s">
        <v>9</v>
      </c>
      <c r="G182" s="4" t="s">
        <v>17</v>
      </c>
      <c r="H182" s="4" t="s">
        <v>18</v>
      </c>
      <c r="I182" s="5">
        <v>5.31</v>
      </c>
      <c r="J182" s="3">
        <v>3704</v>
      </c>
      <c r="K182" s="3">
        <f>SUM(J182/I182)</f>
        <v>697.5517890772129</v>
      </c>
      <c r="L182" s="3">
        <v>266</v>
      </c>
      <c r="M182" s="5">
        <v>35.64</v>
      </c>
      <c r="N182" s="5">
        <f t="shared" si="13"/>
        <v>6.7118644067796618</v>
      </c>
      <c r="O182" s="5">
        <f t="shared" si="14"/>
        <v>19.244060475161987</v>
      </c>
      <c r="P182" s="8">
        <v>37902</v>
      </c>
      <c r="Q182" s="6">
        <v>19.100000000000001</v>
      </c>
      <c r="R182" s="5">
        <v>3.33</v>
      </c>
      <c r="S182" s="6">
        <v>7.2</v>
      </c>
      <c r="T182" s="3"/>
    </row>
    <row r="183" spans="1:20" s="4" customFormat="1" ht="15" customHeight="1" x14ac:dyDescent="0.2">
      <c r="A183" s="4">
        <v>2003</v>
      </c>
      <c r="B183" s="4" t="s">
        <v>91</v>
      </c>
      <c r="C183" s="4">
        <v>1</v>
      </c>
      <c r="D183" s="4">
        <v>7</v>
      </c>
      <c r="E183" s="4" t="s">
        <v>16</v>
      </c>
      <c r="F183" s="4" t="s">
        <v>9</v>
      </c>
      <c r="G183" s="4" t="s">
        <v>17</v>
      </c>
      <c r="H183" s="4" t="s">
        <v>18</v>
      </c>
      <c r="I183" s="5">
        <v>2.86</v>
      </c>
      <c r="J183" s="3">
        <v>2114</v>
      </c>
      <c r="K183" s="3">
        <f>SUM(J183/I183)</f>
        <v>739.16083916083915</v>
      </c>
      <c r="L183" s="3">
        <v>255</v>
      </c>
      <c r="M183" s="5">
        <v>31.7</v>
      </c>
      <c r="N183" s="5">
        <f t="shared" si="13"/>
        <v>11.083916083916083</v>
      </c>
      <c r="O183" s="5">
        <f t="shared" si="14"/>
        <v>29.990539262062441</v>
      </c>
      <c r="P183" s="8">
        <v>37900</v>
      </c>
      <c r="Q183" s="6">
        <v>20.2</v>
      </c>
      <c r="R183" s="5">
        <v>3.4</v>
      </c>
      <c r="S183" s="6">
        <v>5.3</v>
      </c>
      <c r="T183" s="3"/>
    </row>
    <row r="184" spans="1:20" s="4" customFormat="1" ht="15" customHeight="1" x14ac:dyDescent="0.2">
      <c r="A184" s="4">
        <v>2003</v>
      </c>
      <c r="B184" s="4" t="s">
        <v>91</v>
      </c>
      <c r="C184" s="4">
        <v>2</v>
      </c>
      <c r="D184" s="4">
        <v>3</v>
      </c>
      <c r="E184" s="4" t="s">
        <v>16</v>
      </c>
      <c r="F184" s="4" t="s">
        <v>9</v>
      </c>
      <c r="G184" s="4" t="s">
        <v>17</v>
      </c>
      <c r="H184" s="4" t="s">
        <v>18</v>
      </c>
      <c r="I184" s="5">
        <v>2.4500000000000002</v>
      </c>
      <c r="J184" s="3">
        <v>1590</v>
      </c>
      <c r="K184" s="3">
        <f>SUM(J184/I184)</f>
        <v>648.9795918367347</v>
      </c>
      <c r="L184" s="3">
        <v>180</v>
      </c>
      <c r="M184" s="5">
        <v>13.89</v>
      </c>
      <c r="N184" s="5">
        <f t="shared" si="13"/>
        <v>5.6693877551020408</v>
      </c>
      <c r="O184" s="5">
        <f t="shared" si="14"/>
        <v>17.471698113207548</v>
      </c>
      <c r="P184" s="8">
        <v>37897</v>
      </c>
      <c r="Q184" s="6">
        <v>18.600000000000001</v>
      </c>
      <c r="R184" s="5">
        <v>3.42</v>
      </c>
      <c r="S184" s="6">
        <v>5.7</v>
      </c>
      <c r="T184" s="3"/>
    </row>
    <row r="185" spans="1:20" s="4" customFormat="1" ht="15" customHeight="1" x14ac:dyDescent="0.2">
      <c r="A185" s="4">
        <v>2004</v>
      </c>
      <c r="B185" s="4" t="s">
        <v>91</v>
      </c>
      <c r="C185" s="4">
        <v>1</v>
      </c>
      <c r="D185" s="4">
        <v>7</v>
      </c>
      <c r="E185" s="4" t="s">
        <v>16</v>
      </c>
      <c r="F185" s="4" t="s">
        <v>9</v>
      </c>
      <c r="G185" s="4" t="s">
        <v>17</v>
      </c>
      <c r="H185" s="4" t="s">
        <v>18</v>
      </c>
      <c r="I185" s="5">
        <v>2.86</v>
      </c>
      <c r="J185" s="3">
        <v>2114</v>
      </c>
      <c r="K185" s="3">
        <v>698</v>
      </c>
      <c r="L185" s="3">
        <v>240</v>
      </c>
      <c r="M185" s="5">
        <v>26.5</v>
      </c>
      <c r="N185" s="5">
        <f t="shared" si="13"/>
        <v>9.2657342657342667</v>
      </c>
      <c r="O185" s="5">
        <f t="shared" si="14"/>
        <v>25.070955534531695</v>
      </c>
      <c r="P185" s="8">
        <v>38286</v>
      </c>
      <c r="Q185" s="6">
        <v>20</v>
      </c>
      <c r="R185" s="5">
        <v>3.49</v>
      </c>
      <c r="S185" s="6">
        <v>6</v>
      </c>
      <c r="T185" s="3"/>
    </row>
    <row r="186" spans="1:20" s="4" customFormat="1" ht="15" customHeight="1" x14ac:dyDescent="0.2">
      <c r="A186" s="4">
        <v>2004</v>
      </c>
      <c r="B186" s="4" t="s">
        <v>91</v>
      </c>
      <c r="C186" s="4">
        <v>2</v>
      </c>
      <c r="D186" s="4">
        <v>3</v>
      </c>
      <c r="E186" s="4" t="s">
        <v>16</v>
      </c>
      <c r="F186" s="4" t="s">
        <v>9</v>
      </c>
      <c r="G186" s="4" t="s">
        <v>17</v>
      </c>
      <c r="H186" s="4" t="s">
        <v>18</v>
      </c>
      <c r="I186" s="5">
        <v>2.4500000000000002</v>
      </c>
      <c r="J186" s="3">
        <v>1590</v>
      </c>
      <c r="K186" s="3">
        <v>698</v>
      </c>
      <c r="L186" s="3">
        <v>300</v>
      </c>
      <c r="M186" s="5">
        <v>18.3</v>
      </c>
      <c r="N186" s="5">
        <f t="shared" si="13"/>
        <v>7.4693877551020407</v>
      </c>
      <c r="O186" s="5">
        <f t="shared" si="14"/>
        <v>23.018867924528301</v>
      </c>
      <c r="P186" s="8">
        <v>38287</v>
      </c>
      <c r="Q186" s="6">
        <v>19</v>
      </c>
      <c r="R186" s="5">
        <v>3.5</v>
      </c>
      <c r="S186" s="6">
        <v>6.2</v>
      </c>
      <c r="T186" s="3"/>
    </row>
    <row r="187" spans="1:20" s="4" customFormat="1" ht="15" customHeight="1" x14ac:dyDescent="0.2">
      <c r="A187" s="4">
        <v>2005</v>
      </c>
      <c r="B187" s="4" t="s">
        <v>91</v>
      </c>
      <c r="C187" s="4">
        <v>1</v>
      </c>
      <c r="D187" s="4">
        <v>7</v>
      </c>
      <c r="E187" s="4" t="s">
        <v>16</v>
      </c>
      <c r="F187" s="4" t="s">
        <v>9</v>
      </c>
      <c r="G187" s="4" t="s">
        <v>17</v>
      </c>
      <c r="H187" s="4" t="s">
        <v>18</v>
      </c>
      <c r="I187" s="5">
        <v>2.86</v>
      </c>
      <c r="J187" s="3">
        <v>2114</v>
      </c>
      <c r="K187" s="3">
        <v>698</v>
      </c>
      <c r="L187" s="3">
        <v>274</v>
      </c>
      <c r="M187" s="5">
        <v>36.700000000000003</v>
      </c>
      <c r="N187" s="5">
        <f t="shared" si="13"/>
        <v>12.832167832167833</v>
      </c>
      <c r="O187" s="5">
        <f t="shared" si="14"/>
        <v>34.720908230842007</v>
      </c>
      <c r="P187" s="8">
        <v>38649</v>
      </c>
      <c r="Q187" s="6">
        <v>18.8</v>
      </c>
      <c r="R187" s="5">
        <v>3.36</v>
      </c>
      <c r="S187" s="6">
        <v>6</v>
      </c>
      <c r="T187" s="3"/>
    </row>
    <row r="188" spans="1:20" s="4" customFormat="1" ht="15" customHeight="1" x14ac:dyDescent="0.2">
      <c r="A188" s="4">
        <v>2005</v>
      </c>
      <c r="B188" s="4" t="s">
        <v>91</v>
      </c>
      <c r="C188" s="4">
        <v>2</v>
      </c>
      <c r="D188" s="4">
        <v>3</v>
      </c>
      <c r="E188" s="4" t="s">
        <v>16</v>
      </c>
      <c r="F188" s="4" t="s">
        <v>9</v>
      </c>
      <c r="G188" s="4" t="s">
        <v>17</v>
      </c>
      <c r="H188" s="4" t="s">
        <v>18</v>
      </c>
      <c r="I188" s="5">
        <v>2.4500000000000002</v>
      </c>
      <c r="J188" s="3">
        <v>1590</v>
      </c>
      <c r="K188" s="3">
        <v>698</v>
      </c>
      <c r="L188" s="3" t="s">
        <v>15</v>
      </c>
      <c r="M188" s="5">
        <v>13.4</v>
      </c>
      <c r="N188" s="5">
        <f t="shared" si="13"/>
        <v>5.4693877551020407</v>
      </c>
      <c r="O188" s="5">
        <f t="shared" si="14"/>
        <v>16.855345911949687</v>
      </c>
      <c r="P188" s="8">
        <v>38651</v>
      </c>
      <c r="Q188" s="6">
        <v>19</v>
      </c>
      <c r="R188" s="5">
        <v>3.39</v>
      </c>
      <c r="S188" s="6">
        <v>5.7</v>
      </c>
      <c r="T188" s="3"/>
    </row>
    <row r="189" spans="1:20" s="4" customFormat="1" ht="15" customHeight="1" x14ac:dyDescent="0.2">
      <c r="A189" s="4">
        <v>2006</v>
      </c>
      <c r="B189" s="4" t="s">
        <v>91</v>
      </c>
      <c r="C189" s="4">
        <v>1</v>
      </c>
      <c r="D189" s="4">
        <v>7</v>
      </c>
      <c r="E189" s="4" t="s">
        <v>16</v>
      </c>
      <c r="F189" s="4" t="s">
        <v>9</v>
      </c>
      <c r="G189" s="4" t="s">
        <v>17</v>
      </c>
      <c r="H189" s="4" t="s">
        <v>18</v>
      </c>
      <c r="I189" s="5">
        <v>2.86</v>
      </c>
      <c r="J189" s="3">
        <v>2114</v>
      </c>
      <c r="K189" s="3">
        <v>698</v>
      </c>
      <c r="L189" s="3">
        <v>298</v>
      </c>
      <c r="M189" s="5">
        <v>36.700000000000003</v>
      </c>
      <c r="N189" s="5">
        <f t="shared" si="13"/>
        <v>12.832167832167833</v>
      </c>
      <c r="O189" s="5">
        <f t="shared" si="14"/>
        <v>34.720908230842007</v>
      </c>
      <c r="P189" s="8">
        <v>39016</v>
      </c>
      <c r="Q189" s="6">
        <v>20.5</v>
      </c>
      <c r="R189" s="5">
        <v>3.48</v>
      </c>
      <c r="S189" s="6">
        <v>5.4</v>
      </c>
      <c r="T189" s="3"/>
    </row>
    <row r="190" spans="1:20" s="4" customFormat="1" ht="15" customHeight="1" x14ac:dyDescent="0.2">
      <c r="A190" s="4">
        <v>2006</v>
      </c>
      <c r="B190" s="4" t="s">
        <v>91</v>
      </c>
      <c r="C190" s="4">
        <v>2</v>
      </c>
      <c r="D190" s="4">
        <v>3</v>
      </c>
      <c r="E190" s="4" t="s">
        <v>16</v>
      </c>
      <c r="F190" s="4" t="s">
        <v>9</v>
      </c>
      <c r="G190" s="4" t="s">
        <v>17</v>
      </c>
      <c r="H190" s="4" t="s">
        <v>18</v>
      </c>
      <c r="I190" s="5">
        <v>2.4500000000000002</v>
      </c>
      <c r="J190" s="3">
        <v>1590</v>
      </c>
      <c r="K190" s="3">
        <v>698</v>
      </c>
      <c r="L190" s="3">
        <v>284</v>
      </c>
      <c r="M190" s="5">
        <v>17.5</v>
      </c>
      <c r="N190" s="5">
        <f t="shared" si="13"/>
        <v>7.1428571428571423</v>
      </c>
      <c r="O190" s="5">
        <f t="shared" si="14"/>
        <v>22.012578616352201</v>
      </c>
      <c r="P190" s="8">
        <v>39015</v>
      </c>
      <c r="Q190" s="6">
        <v>20</v>
      </c>
      <c r="R190" s="5">
        <v>3.5</v>
      </c>
      <c r="S190" s="6">
        <v>6.2</v>
      </c>
      <c r="T190" s="3"/>
    </row>
    <row r="191" spans="1:20" s="4" customFormat="1" ht="15" customHeight="1" x14ac:dyDescent="0.2">
      <c r="A191" s="4">
        <v>2007</v>
      </c>
      <c r="B191" s="4" t="s">
        <v>91</v>
      </c>
      <c r="C191" s="4">
        <v>1</v>
      </c>
      <c r="D191" s="4">
        <v>7</v>
      </c>
      <c r="E191" s="4" t="s">
        <v>16</v>
      </c>
      <c r="F191" s="4" t="s">
        <v>9</v>
      </c>
      <c r="G191" s="4" t="s">
        <v>17</v>
      </c>
      <c r="H191" s="4" t="s">
        <v>18</v>
      </c>
      <c r="I191" s="5">
        <v>2.86</v>
      </c>
      <c r="J191" s="3">
        <v>2114</v>
      </c>
      <c r="K191" s="3">
        <v>698</v>
      </c>
      <c r="L191" s="3">
        <v>343</v>
      </c>
      <c r="M191" s="5">
        <v>58.7</v>
      </c>
      <c r="N191" s="5">
        <f t="shared" si="13"/>
        <v>20.524475524475527</v>
      </c>
      <c r="O191" s="5">
        <f t="shared" si="14"/>
        <v>55.53453169347209</v>
      </c>
      <c r="P191" s="8">
        <v>39377</v>
      </c>
      <c r="Q191" s="6">
        <v>17.600000000000001</v>
      </c>
      <c r="R191" s="5">
        <v>3.39</v>
      </c>
      <c r="S191" s="6">
        <v>7.3</v>
      </c>
      <c r="T191" s="3"/>
    </row>
    <row r="192" spans="1:20" s="4" customFormat="1" ht="15" customHeight="1" x14ac:dyDescent="0.2">
      <c r="A192" s="4">
        <v>2007</v>
      </c>
      <c r="B192" s="4" t="s">
        <v>91</v>
      </c>
      <c r="C192" s="4">
        <v>2</v>
      </c>
      <c r="D192" s="4">
        <v>3</v>
      </c>
      <c r="E192" s="4" t="s">
        <v>16</v>
      </c>
      <c r="F192" s="4" t="s">
        <v>9</v>
      </c>
      <c r="G192" s="4" t="s">
        <v>17</v>
      </c>
      <c r="H192" s="4" t="s">
        <v>18</v>
      </c>
      <c r="I192" s="5">
        <v>2.4500000000000002</v>
      </c>
      <c r="J192" s="3">
        <v>1590</v>
      </c>
      <c r="K192" s="3">
        <v>698</v>
      </c>
      <c r="L192" s="3">
        <v>303</v>
      </c>
      <c r="M192" s="5">
        <v>23.9</v>
      </c>
      <c r="N192" s="5">
        <f t="shared" si="13"/>
        <v>9.7551020408163254</v>
      </c>
      <c r="O192" s="5">
        <f t="shared" si="14"/>
        <v>30.062893081761008</v>
      </c>
      <c r="P192" s="8">
        <v>39373</v>
      </c>
      <c r="Q192" s="6">
        <v>17</v>
      </c>
      <c r="R192" s="5">
        <v>3.55</v>
      </c>
      <c r="S192" s="6">
        <v>7.5</v>
      </c>
      <c r="T192" s="3"/>
    </row>
    <row r="193" spans="1:20" s="4" customFormat="1" ht="15" customHeight="1" x14ac:dyDescent="0.2">
      <c r="A193" s="4">
        <v>2008</v>
      </c>
      <c r="B193" s="4" t="s">
        <v>91</v>
      </c>
      <c r="C193" s="4">
        <v>1</v>
      </c>
      <c r="D193" s="4">
        <v>7</v>
      </c>
      <c r="E193" s="4" t="s">
        <v>16</v>
      </c>
      <c r="F193" s="4" t="s">
        <v>9</v>
      </c>
      <c r="G193" s="4" t="s">
        <v>17</v>
      </c>
      <c r="H193" s="4" t="s">
        <v>18</v>
      </c>
      <c r="I193" s="5">
        <v>2.86</v>
      </c>
      <c r="J193" s="3">
        <v>2114</v>
      </c>
      <c r="K193" s="3">
        <v>698</v>
      </c>
      <c r="L193" s="3">
        <v>245</v>
      </c>
      <c r="M193" s="5">
        <v>38</v>
      </c>
      <c r="N193" s="5">
        <f t="shared" si="13"/>
        <v>13.286713286713287</v>
      </c>
      <c r="O193" s="5">
        <f t="shared" si="14"/>
        <v>35.950804162724694</v>
      </c>
      <c r="P193" s="8">
        <v>39742</v>
      </c>
      <c r="Q193" s="6">
        <v>17</v>
      </c>
      <c r="R193" s="5">
        <v>3.33</v>
      </c>
      <c r="S193" s="6">
        <v>8.6</v>
      </c>
      <c r="T193" s="3"/>
    </row>
    <row r="194" spans="1:20" s="4" customFormat="1" ht="15" customHeight="1" x14ac:dyDescent="0.2">
      <c r="A194" s="4">
        <v>2008</v>
      </c>
      <c r="B194" s="4" t="s">
        <v>91</v>
      </c>
      <c r="C194" s="4">
        <v>2</v>
      </c>
      <c r="D194" s="4">
        <v>3</v>
      </c>
      <c r="E194" s="4" t="s">
        <v>16</v>
      </c>
      <c r="F194" s="4" t="s">
        <v>9</v>
      </c>
      <c r="G194" s="4" t="s">
        <v>17</v>
      </c>
      <c r="H194" s="4" t="s">
        <v>18</v>
      </c>
      <c r="I194" s="5">
        <v>2.4500000000000002</v>
      </c>
      <c r="J194" s="3">
        <v>1590</v>
      </c>
      <c r="K194" s="3">
        <v>698</v>
      </c>
      <c r="L194" s="3">
        <v>245</v>
      </c>
      <c r="M194" s="5">
        <v>19.7</v>
      </c>
      <c r="N194" s="5">
        <f t="shared" si="13"/>
        <v>8.0408163265306118</v>
      </c>
      <c r="O194" s="5">
        <f t="shared" si="14"/>
        <v>24.779874213836479</v>
      </c>
      <c r="P194" s="8">
        <v>39742</v>
      </c>
      <c r="Q194" s="6">
        <v>19</v>
      </c>
      <c r="R194" s="5">
        <v>3.41</v>
      </c>
      <c r="S194" s="6">
        <v>7.7</v>
      </c>
      <c r="T194" s="3"/>
    </row>
    <row r="195" spans="1:20" s="4" customFormat="1" ht="15" customHeight="1" x14ac:dyDescent="0.2">
      <c r="A195" s="4">
        <v>2009</v>
      </c>
      <c r="B195" s="4" t="s">
        <v>91</v>
      </c>
      <c r="C195" s="4">
        <v>1</v>
      </c>
      <c r="D195" s="4">
        <v>7</v>
      </c>
      <c r="E195" s="4" t="s">
        <v>16</v>
      </c>
      <c r="F195" s="4" t="s">
        <v>9</v>
      </c>
      <c r="G195" s="4" t="s">
        <v>17</v>
      </c>
      <c r="H195" s="4" t="s">
        <v>18</v>
      </c>
      <c r="I195" s="5">
        <v>2.86</v>
      </c>
      <c r="J195" s="3">
        <v>2114</v>
      </c>
      <c r="K195" s="3">
        <v>698</v>
      </c>
      <c r="L195" s="3">
        <v>220</v>
      </c>
      <c r="M195" s="5">
        <v>37.299999999999997</v>
      </c>
      <c r="N195" s="5">
        <f t="shared" si="13"/>
        <v>13.041958041958042</v>
      </c>
      <c r="O195" s="5">
        <f t="shared" si="14"/>
        <v>35.288552507095552</v>
      </c>
      <c r="P195" s="8">
        <v>40099</v>
      </c>
      <c r="Q195" s="6">
        <v>20.8</v>
      </c>
      <c r="R195" s="5">
        <v>3.68</v>
      </c>
      <c r="S195" s="6">
        <v>6</v>
      </c>
      <c r="T195" s="3"/>
    </row>
    <row r="196" spans="1:20" s="4" customFormat="1" ht="15" customHeight="1" x14ac:dyDescent="0.2">
      <c r="A196" s="4">
        <v>2009</v>
      </c>
      <c r="B196" s="4" t="s">
        <v>91</v>
      </c>
      <c r="C196" s="4">
        <v>2</v>
      </c>
      <c r="D196" s="4">
        <v>3</v>
      </c>
      <c r="E196" s="4" t="s">
        <v>16</v>
      </c>
      <c r="F196" s="4" t="s">
        <v>9</v>
      </c>
      <c r="G196" s="4" t="s">
        <v>17</v>
      </c>
      <c r="H196" s="4" t="s">
        <v>18</v>
      </c>
      <c r="I196" s="5">
        <v>2.4500000000000002</v>
      </c>
      <c r="J196" s="3">
        <v>1590</v>
      </c>
      <c r="K196" s="3">
        <v>698</v>
      </c>
      <c r="L196" s="3">
        <v>280</v>
      </c>
      <c r="M196" s="5">
        <v>16.8</v>
      </c>
      <c r="N196" s="5">
        <f t="shared" si="13"/>
        <v>6.8571428571428568</v>
      </c>
      <c r="O196" s="5">
        <f t="shared" si="14"/>
        <v>21.132075471698112</v>
      </c>
      <c r="P196" s="8">
        <v>40099</v>
      </c>
      <c r="Q196" s="6">
        <v>20.2</v>
      </c>
      <c r="R196" s="5">
        <v>3.58</v>
      </c>
      <c r="S196" s="6">
        <v>5.9</v>
      </c>
      <c r="T196" s="3"/>
    </row>
    <row r="197" spans="1:20" s="4" customFormat="1" ht="15" customHeight="1" x14ac:dyDescent="0.2">
      <c r="A197" s="4">
        <v>2010</v>
      </c>
      <c r="B197" s="4" t="s">
        <v>91</v>
      </c>
      <c r="C197" s="4">
        <v>1</v>
      </c>
      <c r="D197" s="4">
        <v>7</v>
      </c>
      <c r="E197" s="4" t="s">
        <v>16</v>
      </c>
      <c r="F197" s="4" t="s">
        <v>9</v>
      </c>
      <c r="G197" s="4" t="s">
        <v>17</v>
      </c>
      <c r="H197" s="4" t="s">
        <v>18</v>
      </c>
      <c r="I197" s="5">
        <v>2.86</v>
      </c>
      <c r="J197" s="3">
        <v>2114</v>
      </c>
      <c r="K197" s="3">
        <v>698</v>
      </c>
      <c r="L197" s="3">
        <v>300</v>
      </c>
      <c r="M197" s="5">
        <v>29.8</v>
      </c>
      <c r="N197" s="5">
        <f t="shared" si="13"/>
        <v>10.41958041958042</v>
      </c>
      <c r="O197" s="5">
        <f t="shared" si="14"/>
        <v>28.192999053926208</v>
      </c>
      <c r="P197" s="8">
        <v>40479</v>
      </c>
      <c r="Q197" s="6">
        <v>20</v>
      </c>
      <c r="R197" s="5">
        <v>3.3</v>
      </c>
      <c r="S197" s="6">
        <v>8</v>
      </c>
      <c r="T197" s="3"/>
    </row>
    <row r="198" spans="1:20" s="4" customFormat="1" ht="15" customHeight="1" x14ac:dyDescent="0.2">
      <c r="A198" s="4">
        <v>2010</v>
      </c>
      <c r="B198" s="4" t="s">
        <v>91</v>
      </c>
      <c r="C198" s="4">
        <v>2</v>
      </c>
      <c r="D198" s="4">
        <v>3</v>
      </c>
      <c r="E198" s="4" t="s">
        <v>16</v>
      </c>
      <c r="F198" s="4" t="s">
        <v>9</v>
      </c>
      <c r="G198" s="4" t="s">
        <v>17</v>
      </c>
      <c r="H198" s="4" t="s">
        <v>18</v>
      </c>
      <c r="I198" s="5">
        <v>2.4500000000000002</v>
      </c>
      <c r="J198" s="3">
        <v>1590</v>
      </c>
      <c r="K198" s="3">
        <v>698</v>
      </c>
      <c r="L198" s="3">
        <v>230</v>
      </c>
      <c r="M198" s="5">
        <v>14.7</v>
      </c>
      <c r="N198" s="5">
        <f t="shared" si="13"/>
        <v>5.9999999999999991</v>
      </c>
      <c r="O198" s="5">
        <f t="shared" si="14"/>
        <v>18.490566037735849</v>
      </c>
      <c r="P198" s="8">
        <v>40477</v>
      </c>
      <c r="Q198" s="6">
        <v>21.4</v>
      </c>
      <c r="R198" s="5">
        <v>3.42</v>
      </c>
      <c r="S198" s="6">
        <v>7.2</v>
      </c>
      <c r="T198" s="3"/>
    </row>
    <row r="199" spans="1:20" s="4" customFormat="1" ht="15" customHeight="1" x14ac:dyDescent="0.2">
      <c r="A199" s="4">
        <v>2011</v>
      </c>
      <c r="B199" s="4" t="s">
        <v>91</v>
      </c>
      <c r="C199" s="4">
        <v>1</v>
      </c>
      <c r="D199" s="4">
        <v>7</v>
      </c>
      <c r="E199" s="4" t="s">
        <v>16</v>
      </c>
      <c r="F199" s="4" t="s">
        <v>9</v>
      </c>
      <c r="G199" s="4" t="s">
        <v>17</v>
      </c>
      <c r="H199" s="4" t="s">
        <v>18</v>
      </c>
      <c r="I199" s="5">
        <v>2.86</v>
      </c>
      <c r="J199" s="3">
        <v>2114</v>
      </c>
      <c r="K199" s="3">
        <v>698</v>
      </c>
      <c r="L199" s="3">
        <v>225</v>
      </c>
      <c r="M199" s="5">
        <v>25.66</v>
      </c>
      <c r="N199" s="5">
        <f t="shared" si="13"/>
        <v>8.9720279720279716</v>
      </c>
      <c r="O199" s="5">
        <f t="shared" si="14"/>
        <v>24.276253547776726</v>
      </c>
      <c r="P199" s="8">
        <v>40849</v>
      </c>
      <c r="Q199" s="6">
        <v>19.399999999999999</v>
      </c>
      <c r="R199" s="5">
        <v>3.37</v>
      </c>
      <c r="S199" s="6">
        <v>7.2</v>
      </c>
      <c r="T199" s="3"/>
    </row>
    <row r="200" spans="1:20" s="4" customFormat="1" ht="15" customHeight="1" x14ac:dyDescent="0.2">
      <c r="A200" s="4">
        <v>2011</v>
      </c>
      <c r="B200" s="4" t="s">
        <v>91</v>
      </c>
      <c r="C200" s="4">
        <v>2</v>
      </c>
      <c r="D200" s="4">
        <v>3</v>
      </c>
      <c r="E200" s="4" t="s">
        <v>16</v>
      </c>
      <c r="F200" s="4" t="s">
        <v>9</v>
      </c>
      <c r="G200" s="4" t="s">
        <v>17</v>
      </c>
      <c r="H200" s="4" t="s">
        <v>18</v>
      </c>
      <c r="I200" s="5">
        <v>2.4500000000000002</v>
      </c>
      <c r="J200" s="3">
        <v>1590</v>
      </c>
      <c r="K200" s="3">
        <v>698</v>
      </c>
      <c r="L200" s="3">
        <v>210</v>
      </c>
      <c r="M200" s="5">
        <v>12.16</v>
      </c>
      <c r="N200" s="5">
        <f t="shared" si="13"/>
        <v>4.963265306122449</v>
      </c>
      <c r="O200" s="5">
        <f t="shared" si="14"/>
        <v>15.29559748427673</v>
      </c>
      <c r="P200" s="8">
        <v>40848</v>
      </c>
      <c r="Q200" s="6">
        <v>19.399999999999999</v>
      </c>
      <c r="R200" s="5">
        <v>3.37</v>
      </c>
      <c r="S200" s="6">
        <v>7.2</v>
      </c>
      <c r="T200" s="3"/>
    </row>
    <row r="201" spans="1:20" s="4" customFormat="1" ht="15" customHeight="1" x14ac:dyDescent="0.2">
      <c r="A201" s="4">
        <v>2012</v>
      </c>
      <c r="B201" s="4" t="s">
        <v>91</v>
      </c>
      <c r="C201" s="4">
        <v>1</v>
      </c>
      <c r="D201" s="4">
        <v>7</v>
      </c>
      <c r="E201" s="4" t="s">
        <v>16</v>
      </c>
      <c r="F201" s="4" t="s">
        <v>9</v>
      </c>
      <c r="G201" s="4" t="s">
        <v>17</v>
      </c>
      <c r="H201" s="4" t="s">
        <v>18</v>
      </c>
      <c r="I201" s="5">
        <v>2.86</v>
      </c>
      <c r="J201" s="3">
        <v>2114</v>
      </c>
      <c r="K201" s="3">
        <v>698</v>
      </c>
      <c r="L201" s="3">
        <v>375</v>
      </c>
      <c r="M201" s="4">
        <f>15.33+24.11</f>
        <v>39.44</v>
      </c>
      <c r="N201" s="5">
        <f>SUM(M199/I201)</f>
        <v>8.9720279720279716</v>
      </c>
      <c r="O201" s="5">
        <f>SUM(M199*2000)/J201</f>
        <v>24.276253547776726</v>
      </c>
      <c r="P201" s="4" t="s">
        <v>19</v>
      </c>
      <c r="Q201" s="4">
        <f>(19+19+19+19.2)/4</f>
        <v>19.05</v>
      </c>
      <c r="R201" s="4">
        <f>(3.35+3.47+3.3+3.37)/4</f>
        <v>3.3725000000000005</v>
      </c>
      <c r="S201" s="4">
        <f>(5.88+6.05+6.11+5.43)/4</f>
        <v>5.8674999999999997</v>
      </c>
      <c r="T201" s="3"/>
    </row>
    <row r="202" spans="1:20" s="4" customFormat="1" ht="15" customHeight="1" x14ac:dyDescent="0.2">
      <c r="A202" s="4">
        <v>2012</v>
      </c>
      <c r="B202" s="4" t="s">
        <v>91</v>
      </c>
      <c r="C202" s="4">
        <v>2</v>
      </c>
      <c r="D202" s="4">
        <v>3</v>
      </c>
      <c r="E202" s="4" t="s">
        <v>16</v>
      </c>
      <c r="F202" s="4" t="s">
        <v>9</v>
      </c>
      <c r="G202" s="4" t="s">
        <v>17</v>
      </c>
      <c r="H202" s="4" t="s">
        <v>18</v>
      </c>
      <c r="I202" s="5">
        <v>2.4500000000000002</v>
      </c>
      <c r="J202" s="3">
        <v>1590</v>
      </c>
      <c r="K202" s="3">
        <v>698</v>
      </c>
      <c r="L202" s="3">
        <v>210</v>
      </c>
      <c r="M202" s="5">
        <v>17.25</v>
      </c>
      <c r="N202" s="5">
        <f t="shared" ref="N202:N208" si="15">SUM(M202/I202)</f>
        <v>7.0408163265306118</v>
      </c>
      <c r="O202" s="5">
        <f t="shared" ref="O202:O231" si="16">SUM(M202*2000)/J202</f>
        <v>21.69811320754717</v>
      </c>
      <c r="P202" s="8">
        <v>41204</v>
      </c>
      <c r="Q202" s="6">
        <f>(18.8+19)/2</f>
        <v>18.899999999999999</v>
      </c>
      <c r="R202" s="5">
        <f>(3.4+3.39)/2</f>
        <v>3.395</v>
      </c>
      <c r="S202" s="6">
        <f>(5.85+6.28)/2</f>
        <v>6.0649999999999995</v>
      </c>
      <c r="T202" s="3"/>
    </row>
    <row r="203" spans="1:20" s="4" customFormat="1" ht="15" customHeight="1" x14ac:dyDescent="0.2">
      <c r="A203" s="4">
        <v>2007</v>
      </c>
      <c r="B203" s="4" t="s">
        <v>97</v>
      </c>
      <c r="C203" s="4">
        <v>1</v>
      </c>
      <c r="D203" s="4">
        <v>3</v>
      </c>
      <c r="E203" s="4" t="s">
        <v>20</v>
      </c>
      <c r="F203" s="4">
        <v>220</v>
      </c>
      <c r="G203" s="4">
        <v>2006</v>
      </c>
      <c r="H203" s="4" t="s">
        <v>34</v>
      </c>
      <c r="I203" s="5">
        <v>5.04</v>
      </c>
      <c r="J203" s="4">
        <v>8946</v>
      </c>
      <c r="K203" s="3">
        <v>1775</v>
      </c>
      <c r="L203" s="3"/>
      <c r="M203" s="5">
        <v>8.4</v>
      </c>
      <c r="N203" s="5">
        <f t="shared" si="15"/>
        <v>1.6666666666666667</v>
      </c>
      <c r="O203" s="5">
        <f t="shared" si="16"/>
        <v>1.8779342723004695</v>
      </c>
      <c r="P203" s="8"/>
      <c r="Q203" s="6"/>
      <c r="R203" s="5"/>
      <c r="S203" s="6"/>
      <c r="T203" s="3"/>
    </row>
    <row r="204" spans="1:20" s="4" customFormat="1" ht="15" customHeight="1" x14ac:dyDescent="0.2">
      <c r="A204" s="4">
        <v>2008</v>
      </c>
      <c r="B204" s="4" t="s">
        <v>97</v>
      </c>
      <c r="C204" s="4">
        <v>1</v>
      </c>
      <c r="D204" s="4">
        <v>3</v>
      </c>
      <c r="E204" s="4" t="s">
        <v>20</v>
      </c>
      <c r="F204" s="4">
        <v>220</v>
      </c>
      <c r="G204" s="4">
        <v>2006</v>
      </c>
      <c r="H204" s="4" t="s">
        <v>34</v>
      </c>
      <c r="I204" s="5">
        <v>5.04</v>
      </c>
      <c r="J204" s="4">
        <v>8946</v>
      </c>
      <c r="K204" s="3">
        <v>1775</v>
      </c>
      <c r="L204" s="3">
        <v>235</v>
      </c>
      <c r="M204" s="5">
        <v>22.7</v>
      </c>
      <c r="N204" s="5">
        <f t="shared" si="15"/>
        <v>4.503968253968254</v>
      </c>
      <c r="O204" s="5">
        <f t="shared" si="16"/>
        <v>5.0748938072881735</v>
      </c>
      <c r="P204" s="8">
        <v>39731</v>
      </c>
      <c r="Q204" s="6">
        <v>18</v>
      </c>
      <c r="R204" s="5">
        <v>3.17</v>
      </c>
      <c r="S204" s="6">
        <v>12.3</v>
      </c>
      <c r="T204" s="3"/>
    </row>
    <row r="205" spans="1:20" s="4" customFormat="1" ht="15" customHeight="1" x14ac:dyDescent="0.2">
      <c r="A205" s="4">
        <v>2009</v>
      </c>
      <c r="B205" s="4" t="s">
        <v>97</v>
      </c>
      <c r="C205" s="4">
        <v>1</v>
      </c>
      <c r="D205" s="4">
        <v>3</v>
      </c>
      <c r="E205" s="4" t="s">
        <v>20</v>
      </c>
      <c r="F205" s="4">
        <v>220</v>
      </c>
      <c r="G205" s="4">
        <v>2006</v>
      </c>
      <c r="H205" s="4" t="s">
        <v>34</v>
      </c>
      <c r="I205" s="5">
        <v>5.04</v>
      </c>
      <c r="J205" s="4">
        <v>8946</v>
      </c>
      <c r="K205" s="3">
        <v>1775</v>
      </c>
      <c r="L205" s="3">
        <v>320</v>
      </c>
      <c r="M205" s="5">
        <v>14.4</v>
      </c>
      <c r="N205" s="5">
        <f t="shared" si="15"/>
        <v>2.8571428571428572</v>
      </c>
      <c r="O205" s="5">
        <f t="shared" si="16"/>
        <v>3.2193158953722336</v>
      </c>
      <c r="P205" s="8">
        <v>40088</v>
      </c>
      <c r="Q205" s="6">
        <v>20.8</v>
      </c>
      <c r="R205" s="5">
        <v>3.46</v>
      </c>
      <c r="S205" s="6">
        <v>7.1</v>
      </c>
      <c r="T205" s="3"/>
    </row>
    <row r="206" spans="1:20" s="4" customFormat="1" ht="15" customHeight="1" x14ac:dyDescent="0.2">
      <c r="A206" s="4">
        <v>2010</v>
      </c>
      <c r="B206" s="4" t="s">
        <v>97</v>
      </c>
      <c r="C206" s="4">
        <v>1</v>
      </c>
      <c r="D206" s="4">
        <v>3</v>
      </c>
      <c r="E206" s="4" t="s">
        <v>20</v>
      </c>
      <c r="F206" s="4">
        <v>220</v>
      </c>
      <c r="G206" s="4">
        <v>2006</v>
      </c>
      <c r="H206" s="4" t="s">
        <v>34</v>
      </c>
      <c r="I206" s="5">
        <v>5.04</v>
      </c>
      <c r="J206" s="4">
        <v>8946</v>
      </c>
      <c r="K206" s="3">
        <v>1775</v>
      </c>
      <c r="L206" s="3">
        <v>185</v>
      </c>
      <c r="M206" s="5">
        <v>34</v>
      </c>
      <c r="N206" s="5">
        <f t="shared" si="15"/>
        <v>6.746031746031746</v>
      </c>
      <c r="O206" s="5">
        <f t="shared" si="16"/>
        <v>7.6011625307399955</v>
      </c>
      <c r="P206" s="8">
        <v>40473</v>
      </c>
      <c r="Q206" s="6">
        <v>18.2</v>
      </c>
      <c r="R206" s="5">
        <v>3.04</v>
      </c>
      <c r="S206" s="6">
        <v>11.5</v>
      </c>
      <c r="T206" s="3"/>
    </row>
    <row r="207" spans="1:20" s="4" customFormat="1" ht="15" customHeight="1" x14ac:dyDescent="0.2">
      <c r="A207" s="4">
        <v>2011</v>
      </c>
      <c r="B207" s="4" t="s">
        <v>97</v>
      </c>
      <c r="C207" s="4">
        <v>1</v>
      </c>
      <c r="D207" s="4">
        <v>3</v>
      </c>
      <c r="E207" s="4" t="s">
        <v>20</v>
      </c>
      <c r="F207" s="4">
        <v>220</v>
      </c>
      <c r="G207" s="4">
        <v>2006</v>
      </c>
      <c r="H207" s="4" t="s">
        <v>34</v>
      </c>
      <c r="I207" s="5">
        <v>5.04</v>
      </c>
      <c r="J207" s="4">
        <v>8946</v>
      </c>
      <c r="K207" s="3">
        <v>1775</v>
      </c>
      <c r="L207" s="3">
        <v>345</v>
      </c>
      <c r="M207" s="5">
        <v>26.24</v>
      </c>
      <c r="N207" s="5">
        <f t="shared" si="15"/>
        <v>5.2063492063492056</v>
      </c>
      <c r="O207" s="5">
        <f t="shared" si="16"/>
        <v>5.8663089649005142</v>
      </c>
      <c r="P207" s="8">
        <v>40837</v>
      </c>
      <c r="Q207" s="6">
        <v>20</v>
      </c>
      <c r="R207" s="5">
        <v>3.21</v>
      </c>
      <c r="S207" s="6">
        <v>11</v>
      </c>
      <c r="T207" s="3"/>
    </row>
    <row r="208" spans="1:20" s="4" customFormat="1" ht="15" customHeight="1" x14ac:dyDescent="0.2">
      <c r="A208" s="4">
        <v>2012</v>
      </c>
      <c r="B208" s="4" t="s">
        <v>97</v>
      </c>
      <c r="C208" s="4">
        <v>1</v>
      </c>
      <c r="D208" s="4">
        <v>3</v>
      </c>
      <c r="E208" s="4" t="s">
        <v>20</v>
      </c>
      <c r="F208" s="4">
        <v>220</v>
      </c>
      <c r="G208" s="4">
        <v>2006</v>
      </c>
      <c r="H208" s="4" t="s">
        <v>34</v>
      </c>
      <c r="I208" s="5">
        <v>5.04</v>
      </c>
      <c r="J208" s="4">
        <v>8946</v>
      </c>
      <c r="K208" s="3">
        <v>1775</v>
      </c>
      <c r="L208" s="3">
        <v>340</v>
      </c>
      <c r="M208" s="5">
        <f>28.89+9.23</f>
        <v>38.120000000000005</v>
      </c>
      <c r="N208" s="5">
        <f t="shared" si="15"/>
        <v>7.5634920634920642</v>
      </c>
      <c r="O208" s="5">
        <f t="shared" si="16"/>
        <v>8.5222445785826082</v>
      </c>
      <c r="P208" s="8" t="s">
        <v>68</v>
      </c>
      <c r="Q208" s="6">
        <f>(20+19.8+20+20)/4</f>
        <v>19.95</v>
      </c>
      <c r="R208" s="5">
        <f>(3.09+3.05+3.11+3.17)/4</f>
        <v>3.105</v>
      </c>
      <c r="S208" s="6">
        <f>(8.85+9.6+9.26+8.85)/4</f>
        <v>9.14</v>
      </c>
      <c r="T208" s="3"/>
    </row>
    <row r="209" spans="1:20" s="4" customFormat="1" ht="15" customHeight="1" x14ac:dyDescent="0.2">
      <c r="A209" s="4">
        <v>2008</v>
      </c>
      <c r="B209" s="4" t="s">
        <v>115</v>
      </c>
      <c r="C209" s="4">
        <v>1</v>
      </c>
      <c r="D209" s="4">
        <v>3</v>
      </c>
      <c r="E209" s="4" t="s">
        <v>20</v>
      </c>
      <c r="F209" s="4">
        <v>220</v>
      </c>
      <c r="G209" s="4">
        <v>2006</v>
      </c>
      <c r="H209" s="4" t="s">
        <v>44</v>
      </c>
      <c r="I209" s="5">
        <v>1.65</v>
      </c>
      <c r="J209" s="3">
        <v>4061</v>
      </c>
      <c r="K209" s="3">
        <v>975</v>
      </c>
      <c r="L209" s="3">
        <v>345</v>
      </c>
      <c r="M209" s="5">
        <v>11.4</v>
      </c>
      <c r="N209" s="5">
        <f>(M209/I209)</f>
        <v>6.9090909090909101</v>
      </c>
      <c r="O209" s="5">
        <f t="shared" si="16"/>
        <v>5.6143806944102437</v>
      </c>
      <c r="P209" s="8">
        <v>39727</v>
      </c>
      <c r="Q209" s="6">
        <v>21.5</v>
      </c>
      <c r="R209" s="5">
        <v>3.28</v>
      </c>
      <c r="S209" s="6">
        <v>10.43</v>
      </c>
      <c r="T209" s="3"/>
    </row>
    <row r="210" spans="1:20" s="4" customFormat="1" ht="15" customHeight="1" x14ac:dyDescent="0.2">
      <c r="A210" s="4">
        <v>2009</v>
      </c>
      <c r="B210" s="4" t="s">
        <v>115</v>
      </c>
      <c r="C210" s="4">
        <v>1</v>
      </c>
      <c r="D210" s="4">
        <v>3</v>
      </c>
      <c r="E210" s="4" t="s">
        <v>20</v>
      </c>
      <c r="F210" s="4">
        <v>220</v>
      </c>
      <c r="G210" s="4">
        <v>2006</v>
      </c>
      <c r="H210" s="4" t="s">
        <v>44</v>
      </c>
      <c r="I210" s="5">
        <v>1.65</v>
      </c>
      <c r="J210" s="3">
        <v>4061</v>
      </c>
      <c r="K210" s="3">
        <v>975</v>
      </c>
      <c r="L210" s="3">
        <v>315</v>
      </c>
      <c r="M210" s="5">
        <v>8.9</v>
      </c>
      <c r="N210" s="5">
        <f>(M210/I210)</f>
        <v>5.3939393939393945</v>
      </c>
      <c r="O210" s="5">
        <f t="shared" si="16"/>
        <v>4.3831568579167692</v>
      </c>
      <c r="P210" s="8">
        <v>40090</v>
      </c>
      <c r="Q210" s="6">
        <v>24.4</v>
      </c>
      <c r="R210" s="5">
        <v>3.47</v>
      </c>
      <c r="S210" s="6">
        <v>7.1</v>
      </c>
      <c r="T210" s="3"/>
    </row>
    <row r="211" spans="1:20" s="4" customFormat="1" ht="15" customHeight="1" x14ac:dyDescent="0.2">
      <c r="A211" s="4">
        <v>2010</v>
      </c>
      <c r="B211" s="4" t="s">
        <v>115</v>
      </c>
      <c r="C211" s="4">
        <v>1</v>
      </c>
      <c r="D211" s="4">
        <v>3</v>
      </c>
      <c r="E211" s="4" t="s">
        <v>20</v>
      </c>
      <c r="F211" s="4">
        <v>220</v>
      </c>
      <c r="G211" s="4">
        <v>2006</v>
      </c>
      <c r="H211" s="4" t="s">
        <v>44</v>
      </c>
      <c r="I211" s="5">
        <v>1.65</v>
      </c>
      <c r="J211" s="3">
        <v>4061</v>
      </c>
      <c r="K211" s="3">
        <v>975</v>
      </c>
      <c r="L211" s="3">
        <v>280</v>
      </c>
      <c r="M211" s="5">
        <v>15.5</v>
      </c>
      <c r="N211" s="5">
        <f>(M211/I211)</f>
        <v>9.3939393939393945</v>
      </c>
      <c r="O211" s="5">
        <f t="shared" si="16"/>
        <v>7.6335877862595423</v>
      </c>
      <c r="P211" s="8">
        <v>40461</v>
      </c>
      <c r="Q211" s="6">
        <v>19.8</v>
      </c>
      <c r="R211" s="5">
        <v>3.13</v>
      </c>
      <c r="S211" s="6">
        <v>12.4</v>
      </c>
      <c r="T211" s="3"/>
    </row>
    <row r="212" spans="1:20" s="4" customFormat="1" ht="15" customHeight="1" x14ac:dyDescent="0.2">
      <c r="A212" s="4">
        <v>2011</v>
      </c>
      <c r="B212" s="4" t="s">
        <v>115</v>
      </c>
      <c r="C212" s="4">
        <v>1</v>
      </c>
      <c r="D212" s="4">
        <v>3</v>
      </c>
      <c r="E212" s="4" t="s">
        <v>20</v>
      </c>
      <c r="F212" s="4">
        <v>220</v>
      </c>
      <c r="G212" s="4">
        <v>2006</v>
      </c>
      <c r="H212" s="4" t="s">
        <v>44</v>
      </c>
      <c r="I212" s="5">
        <v>1.65</v>
      </c>
      <c r="J212" s="3">
        <v>4061</v>
      </c>
      <c r="K212" s="3">
        <v>975</v>
      </c>
      <c r="L212" s="3">
        <v>277</v>
      </c>
      <c r="M212" s="5">
        <v>13.22</v>
      </c>
      <c r="N212" s="5">
        <f>(M212/I212)</f>
        <v>8.0121212121212135</v>
      </c>
      <c r="O212" s="5">
        <f t="shared" si="16"/>
        <v>6.5107116473774935</v>
      </c>
      <c r="P212" s="8">
        <v>40824</v>
      </c>
      <c r="Q212" s="6"/>
      <c r="R212" s="5"/>
      <c r="S212" s="6"/>
      <c r="T212" s="3"/>
    </row>
    <row r="213" spans="1:20" s="4" customFormat="1" ht="15" customHeight="1" x14ac:dyDescent="0.2">
      <c r="A213" s="4">
        <v>2011</v>
      </c>
      <c r="B213" s="4" t="s">
        <v>115</v>
      </c>
      <c r="C213" s="4">
        <v>1</v>
      </c>
      <c r="D213" s="4">
        <v>3</v>
      </c>
      <c r="E213" s="4" t="s">
        <v>20</v>
      </c>
      <c r="F213" s="4">
        <v>220</v>
      </c>
      <c r="G213" s="4">
        <v>2006</v>
      </c>
      <c r="H213" s="4" t="s">
        <v>44</v>
      </c>
      <c r="I213" s="5">
        <v>1.65</v>
      </c>
      <c r="J213" s="3">
        <v>4061</v>
      </c>
      <c r="K213" s="3">
        <v>975</v>
      </c>
      <c r="L213" s="3">
        <v>215</v>
      </c>
      <c r="M213" s="5">
        <v>13.54</v>
      </c>
      <c r="N213" s="5">
        <f>(M213/I213)</f>
        <v>8.2060606060606052</v>
      </c>
      <c r="O213" s="5">
        <f t="shared" si="16"/>
        <v>6.6683082984486584</v>
      </c>
      <c r="P213" s="8">
        <v>41202</v>
      </c>
      <c r="Q213" s="6">
        <v>23.2</v>
      </c>
      <c r="R213" s="5">
        <v>3.35</v>
      </c>
      <c r="S213" s="6">
        <v>10</v>
      </c>
      <c r="T213" s="3"/>
    </row>
    <row r="214" spans="1:20" s="4" customFormat="1" ht="15" customHeight="1" x14ac:dyDescent="0.2">
      <c r="A214" s="4">
        <v>2000</v>
      </c>
      <c r="B214" s="4" t="s">
        <v>91</v>
      </c>
      <c r="C214" s="4">
        <v>2</v>
      </c>
      <c r="D214" s="4">
        <v>6</v>
      </c>
      <c r="E214" s="4" t="s">
        <v>20</v>
      </c>
      <c r="F214" s="4">
        <v>220</v>
      </c>
      <c r="G214" s="4">
        <v>1997</v>
      </c>
      <c r="H214" s="4" t="s">
        <v>14</v>
      </c>
      <c r="I214" s="5">
        <v>4.72</v>
      </c>
      <c r="J214" s="3">
        <v>6500</v>
      </c>
      <c r="K214" s="3">
        <f t="shared" ref="K214:K221" si="17">SUM(J214/I214)</f>
        <v>1377.1186440677966</v>
      </c>
      <c r="L214" s="3">
        <v>280</v>
      </c>
      <c r="M214" s="5">
        <v>17.5</v>
      </c>
      <c r="N214" s="5">
        <f>SUM(M214/I214)</f>
        <v>3.7076271186440679</v>
      </c>
      <c r="O214" s="5">
        <f t="shared" si="16"/>
        <v>5.384615384615385</v>
      </c>
      <c r="P214" s="8">
        <v>36830</v>
      </c>
      <c r="Q214" s="6">
        <v>20</v>
      </c>
      <c r="R214" s="5">
        <v>2.98</v>
      </c>
      <c r="S214" s="6">
        <v>12.5</v>
      </c>
      <c r="T214" s="3"/>
    </row>
    <row r="215" spans="1:20" s="4" customFormat="1" ht="15" customHeight="1" x14ac:dyDescent="0.2">
      <c r="A215" s="4">
        <v>2000</v>
      </c>
      <c r="B215" s="4" t="s">
        <v>91</v>
      </c>
      <c r="C215" s="4">
        <v>3</v>
      </c>
      <c r="D215" s="4">
        <v>1</v>
      </c>
      <c r="E215" s="4" t="s">
        <v>20</v>
      </c>
      <c r="I215" s="5">
        <v>1.93</v>
      </c>
      <c r="J215" s="3">
        <v>1373</v>
      </c>
      <c r="K215" s="3">
        <f t="shared" si="17"/>
        <v>711.39896373057002</v>
      </c>
      <c r="L215" s="3"/>
      <c r="M215" s="5">
        <v>8.2125000000000004</v>
      </c>
      <c r="N215" s="5">
        <f>SUM(M215)/I215</f>
        <v>4.2551813471502591</v>
      </c>
      <c r="O215" s="5">
        <f t="shared" si="16"/>
        <v>11.962855061908231</v>
      </c>
      <c r="P215" s="8">
        <v>36830</v>
      </c>
      <c r="Q215" s="6">
        <v>19</v>
      </c>
      <c r="R215" s="5">
        <v>2.9</v>
      </c>
      <c r="S215" s="6">
        <v>13.5</v>
      </c>
      <c r="T215" s="3"/>
    </row>
    <row r="216" spans="1:20" s="4" customFormat="1" ht="15" customHeight="1" x14ac:dyDescent="0.2">
      <c r="A216" s="4">
        <v>2001</v>
      </c>
      <c r="B216" s="4" t="s">
        <v>91</v>
      </c>
      <c r="C216" s="4">
        <v>2</v>
      </c>
      <c r="D216" s="4">
        <v>6</v>
      </c>
      <c r="E216" s="4" t="s">
        <v>20</v>
      </c>
      <c r="F216" s="4">
        <v>220</v>
      </c>
      <c r="G216" s="4">
        <v>1997</v>
      </c>
      <c r="H216" s="4" t="s">
        <v>14</v>
      </c>
      <c r="I216" s="5">
        <v>4.72</v>
      </c>
      <c r="J216" s="3">
        <v>6500</v>
      </c>
      <c r="K216" s="3">
        <f t="shared" si="17"/>
        <v>1377.1186440677966</v>
      </c>
      <c r="L216" s="3">
        <v>298</v>
      </c>
      <c r="M216" s="5">
        <v>21.42</v>
      </c>
      <c r="N216" s="5">
        <f>SUM(M216/I216)</f>
        <v>4.53813559322034</v>
      </c>
      <c r="O216" s="5">
        <f t="shared" si="16"/>
        <v>6.5907692307692312</v>
      </c>
      <c r="P216" s="8">
        <v>37188</v>
      </c>
      <c r="Q216" s="6">
        <v>19.600000000000001</v>
      </c>
      <c r="R216" s="5">
        <v>2.9</v>
      </c>
      <c r="S216" s="6">
        <v>12.3</v>
      </c>
      <c r="T216" s="3"/>
    </row>
    <row r="217" spans="1:20" s="4" customFormat="1" ht="15" customHeight="1" x14ac:dyDescent="0.2">
      <c r="A217" s="4">
        <v>2001</v>
      </c>
      <c r="B217" s="4" t="s">
        <v>91</v>
      </c>
      <c r="C217" s="4">
        <v>3</v>
      </c>
      <c r="D217" s="4">
        <v>1</v>
      </c>
      <c r="E217" s="4" t="s">
        <v>20</v>
      </c>
      <c r="I217" s="5">
        <v>1.93</v>
      </c>
      <c r="J217" s="3">
        <v>1373</v>
      </c>
      <c r="K217" s="3">
        <f t="shared" si="17"/>
        <v>711.39896373057002</v>
      </c>
      <c r="L217" s="3">
        <v>300</v>
      </c>
      <c r="M217" s="5">
        <v>6.13</v>
      </c>
      <c r="N217" s="5">
        <f>SUM(M217)/I217</f>
        <v>3.1761658031088085</v>
      </c>
      <c r="O217" s="5">
        <f t="shared" si="16"/>
        <v>8.9293517844136918</v>
      </c>
      <c r="P217" s="8">
        <v>37189</v>
      </c>
      <c r="Q217" s="6">
        <v>19.399999999999999</v>
      </c>
      <c r="R217" s="5">
        <v>2.86</v>
      </c>
      <c r="S217" s="6">
        <v>12.5</v>
      </c>
      <c r="T217" s="3"/>
    </row>
    <row r="218" spans="1:20" s="4" customFormat="1" ht="15" customHeight="1" x14ac:dyDescent="0.2">
      <c r="A218" s="4">
        <v>2002</v>
      </c>
      <c r="B218" s="4" t="s">
        <v>91</v>
      </c>
      <c r="C218" s="4">
        <v>2</v>
      </c>
      <c r="D218" s="4">
        <v>6</v>
      </c>
      <c r="E218" s="4" t="s">
        <v>20</v>
      </c>
      <c r="F218" s="4">
        <v>220</v>
      </c>
      <c r="G218" s="4">
        <v>1997</v>
      </c>
      <c r="H218" s="4" t="s">
        <v>14</v>
      </c>
      <c r="I218" s="5">
        <v>4.72</v>
      </c>
      <c r="J218" s="3">
        <v>6500</v>
      </c>
      <c r="K218" s="3">
        <f t="shared" si="17"/>
        <v>1377.1186440677966</v>
      </c>
      <c r="L218" s="3">
        <v>263</v>
      </c>
      <c r="M218" s="5">
        <v>23.603000000000002</v>
      </c>
      <c r="N218" s="5">
        <f>SUM(M218/I218)</f>
        <v>5.0006355932203395</v>
      </c>
      <c r="O218" s="5">
        <f t="shared" si="16"/>
        <v>7.2624615384615385</v>
      </c>
      <c r="P218" s="8">
        <v>37914</v>
      </c>
      <c r="Q218" s="6">
        <v>23</v>
      </c>
      <c r="R218" s="5">
        <v>3.08</v>
      </c>
      <c r="S218" s="6">
        <v>8.6999999999999993</v>
      </c>
      <c r="T218" s="3"/>
    </row>
    <row r="219" spans="1:20" s="4" customFormat="1" ht="15" customHeight="1" x14ac:dyDescent="0.2">
      <c r="A219" s="4">
        <v>2002</v>
      </c>
      <c r="B219" s="4" t="s">
        <v>91</v>
      </c>
      <c r="C219" s="4">
        <v>3</v>
      </c>
      <c r="D219" s="4">
        <v>1</v>
      </c>
      <c r="E219" s="4" t="s">
        <v>20</v>
      </c>
      <c r="I219" s="5">
        <v>1.93</v>
      </c>
      <c r="J219" s="3">
        <v>1373</v>
      </c>
      <c r="K219" s="3">
        <f t="shared" si="17"/>
        <v>711.39896373057002</v>
      </c>
      <c r="L219" s="3"/>
      <c r="M219" s="5">
        <v>4.34</v>
      </c>
      <c r="N219" s="5">
        <f>SUM(M219)/I219</f>
        <v>2.2487046632124352</v>
      </c>
      <c r="O219" s="5">
        <f t="shared" si="16"/>
        <v>6.3219227967953389</v>
      </c>
      <c r="P219" s="8">
        <v>37914</v>
      </c>
      <c r="Q219" s="6">
        <v>22.6</v>
      </c>
      <c r="R219" s="5">
        <v>3.18</v>
      </c>
      <c r="S219" s="6">
        <v>8.5</v>
      </c>
      <c r="T219" s="3"/>
    </row>
    <row r="220" spans="1:20" s="4" customFormat="1" ht="15" customHeight="1" x14ac:dyDescent="0.2">
      <c r="A220" s="4">
        <v>2003</v>
      </c>
      <c r="B220" s="4" t="s">
        <v>91</v>
      </c>
      <c r="C220" s="4">
        <v>2</v>
      </c>
      <c r="D220" s="4">
        <v>6</v>
      </c>
      <c r="E220" s="4" t="s">
        <v>20</v>
      </c>
      <c r="F220" s="4">
        <v>220</v>
      </c>
      <c r="G220" s="4">
        <v>1997</v>
      </c>
      <c r="H220" s="4" t="s">
        <v>14</v>
      </c>
      <c r="I220" s="5">
        <v>4.72</v>
      </c>
      <c r="J220" s="3">
        <v>6500</v>
      </c>
      <c r="K220" s="3">
        <f t="shared" si="17"/>
        <v>1377.1186440677966</v>
      </c>
      <c r="L220" s="3">
        <v>335</v>
      </c>
      <c r="M220" s="5">
        <v>24.3</v>
      </c>
      <c r="N220" s="5">
        <f>SUM(M220/I220)</f>
        <v>5.148305084745763</v>
      </c>
      <c r="O220" s="5">
        <f t="shared" si="16"/>
        <v>7.476923076923077</v>
      </c>
      <c r="P220" s="8">
        <v>37923</v>
      </c>
      <c r="Q220" s="6">
        <v>20.8</v>
      </c>
      <c r="R220" s="5">
        <v>3.03</v>
      </c>
      <c r="S220" s="6">
        <v>8.6999999999999993</v>
      </c>
      <c r="T220" s="3"/>
    </row>
    <row r="221" spans="1:20" s="4" customFormat="1" ht="15" customHeight="1" x14ac:dyDescent="0.2">
      <c r="A221" s="4">
        <v>2003</v>
      </c>
      <c r="B221" s="4" t="s">
        <v>91</v>
      </c>
      <c r="C221" s="4">
        <v>3</v>
      </c>
      <c r="D221" s="4">
        <v>1</v>
      </c>
      <c r="E221" s="4" t="s">
        <v>20</v>
      </c>
      <c r="I221" s="5">
        <v>1.93</v>
      </c>
      <c r="J221" s="3">
        <v>1373</v>
      </c>
      <c r="K221" s="3">
        <f t="shared" si="17"/>
        <v>711.39896373057002</v>
      </c>
      <c r="L221" s="3">
        <v>341</v>
      </c>
      <c r="M221" s="5">
        <v>4.4400000000000004</v>
      </c>
      <c r="N221" s="5">
        <f>SUM(M221)/I221</f>
        <v>2.3005181347150261</v>
      </c>
      <c r="O221" s="5">
        <f t="shared" si="16"/>
        <v>6.4675892206846326</v>
      </c>
      <c r="P221" s="8">
        <v>37924</v>
      </c>
      <c r="Q221" s="6">
        <v>21.5</v>
      </c>
      <c r="R221" s="5">
        <v>3.15</v>
      </c>
      <c r="S221" s="6">
        <v>7.9</v>
      </c>
      <c r="T221" s="3"/>
    </row>
    <row r="222" spans="1:20" s="4" customFormat="1" ht="15" customHeight="1" x14ac:dyDescent="0.2">
      <c r="A222" s="4">
        <v>2004</v>
      </c>
      <c r="B222" s="4" t="s">
        <v>91</v>
      </c>
      <c r="C222" s="4">
        <v>2</v>
      </c>
      <c r="D222" s="4">
        <v>6</v>
      </c>
      <c r="E222" s="4" t="s">
        <v>20</v>
      </c>
      <c r="F222" s="4">
        <v>220</v>
      </c>
      <c r="G222" s="4">
        <v>1997</v>
      </c>
      <c r="H222" s="4" t="s">
        <v>14</v>
      </c>
      <c r="I222" s="5">
        <v>4.72</v>
      </c>
      <c r="J222" s="3">
        <v>6500</v>
      </c>
      <c r="K222" s="3">
        <v>1377</v>
      </c>
      <c r="L222" s="3">
        <v>230</v>
      </c>
      <c r="M222" s="5">
        <v>27.2</v>
      </c>
      <c r="N222" s="5">
        <f>SUM(M222/I222)</f>
        <v>5.7627118644067794</v>
      </c>
      <c r="O222" s="5">
        <f t="shared" si="16"/>
        <v>8.3692307692307697</v>
      </c>
      <c r="P222" s="8">
        <v>38288</v>
      </c>
      <c r="Q222" s="6">
        <v>21.6</v>
      </c>
      <c r="R222" s="5">
        <v>3.24</v>
      </c>
      <c r="S222" s="6">
        <v>7.7</v>
      </c>
      <c r="T222" s="3"/>
    </row>
    <row r="223" spans="1:20" s="4" customFormat="1" ht="15" customHeight="1" x14ac:dyDescent="0.2">
      <c r="A223" s="4">
        <v>2004</v>
      </c>
      <c r="B223" s="4" t="s">
        <v>91</v>
      </c>
      <c r="C223" s="4">
        <v>3</v>
      </c>
      <c r="D223" s="4">
        <v>1</v>
      </c>
      <c r="E223" s="4" t="s">
        <v>20</v>
      </c>
      <c r="I223" s="5">
        <v>1.93</v>
      </c>
      <c r="J223" s="3">
        <v>1373</v>
      </c>
      <c r="K223" s="3">
        <v>711</v>
      </c>
      <c r="L223" s="3">
        <v>285</v>
      </c>
      <c r="M223" s="5">
        <v>6.8</v>
      </c>
      <c r="N223" s="5">
        <f>SUM(M223)/I223</f>
        <v>3.5233160621761659</v>
      </c>
      <c r="O223" s="5">
        <f t="shared" si="16"/>
        <v>9.90531682447196</v>
      </c>
      <c r="P223" s="8">
        <v>38288</v>
      </c>
      <c r="Q223" s="6">
        <v>21.6</v>
      </c>
      <c r="R223" s="5">
        <v>3.24</v>
      </c>
      <c r="S223" s="6">
        <v>7.7</v>
      </c>
      <c r="T223" s="3"/>
    </row>
    <row r="224" spans="1:20" s="4" customFormat="1" ht="15" customHeight="1" x14ac:dyDescent="0.2">
      <c r="A224" s="4">
        <v>2005</v>
      </c>
      <c r="B224" s="4" t="s">
        <v>91</v>
      </c>
      <c r="C224" s="4">
        <v>2</v>
      </c>
      <c r="D224" s="4">
        <v>6</v>
      </c>
      <c r="E224" s="4" t="s">
        <v>20</v>
      </c>
      <c r="F224" s="4">
        <v>220</v>
      </c>
      <c r="G224" s="4">
        <v>1997</v>
      </c>
      <c r="H224" s="4" t="s">
        <v>14</v>
      </c>
      <c r="I224" s="5">
        <v>4.72</v>
      </c>
      <c r="J224" s="3">
        <v>6500</v>
      </c>
      <c r="K224" s="3">
        <v>1377</v>
      </c>
      <c r="L224" s="3">
        <v>234</v>
      </c>
      <c r="M224" s="5">
        <v>13.2</v>
      </c>
      <c r="N224" s="5">
        <f t="shared" ref="N224:N231" si="18">SUM(M224/I224)</f>
        <v>2.7966101694915255</v>
      </c>
      <c r="O224" s="5">
        <f t="shared" si="16"/>
        <v>4.0615384615384613</v>
      </c>
      <c r="P224" s="8">
        <v>38640</v>
      </c>
      <c r="Q224" s="6">
        <v>23</v>
      </c>
      <c r="R224" s="5">
        <v>3.08</v>
      </c>
      <c r="S224" s="6">
        <v>9.1999999999999993</v>
      </c>
      <c r="T224" s="3"/>
    </row>
    <row r="225" spans="1:20" s="4" customFormat="1" ht="15" customHeight="1" x14ac:dyDescent="0.2">
      <c r="A225" s="4">
        <v>2006</v>
      </c>
      <c r="B225" s="4" t="s">
        <v>91</v>
      </c>
      <c r="C225" s="4">
        <v>2</v>
      </c>
      <c r="D225" s="4">
        <v>6</v>
      </c>
      <c r="E225" s="4" t="s">
        <v>20</v>
      </c>
      <c r="F225" s="4">
        <v>220</v>
      </c>
      <c r="G225" s="4">
        <v>1997</v>
      </c>
      <c r="H225" s="4" t="s">
        <v>14</v>
      </c>
      <c r="I225" s="5">
        <v>4.72</v>
      </c>
      <c r="J225" s="3">
        <v>6500</v>
      </c>
      <c r="K225" s="3">
        <v>1377</v>
      </c>
      <c r="L225" s="3">
        <v>210</v>
      </c>
      <c r="M225" s="5">
        <v>35.1</v>
      </c>
      <c r="N225" s="5">
        <f t="shared" si="18"/>
        <v>7.4364406779661021</v>
      </c>
      <c r="O225" s="5">
        <f t="shared" si="16"/>
        <v>10.8</v>
      </c>
      <c r="P225" s="8">
        <v>39021</v>
      </c>
      <c r="Q225" s="6">
        <v>23.2</v>
      </c>
      <c r="R225" s="5">
        <v>3.3</v>
      </c>
      <c r="S225" s="6">
        <v>7.7</v>
      </c>
      <c r="T225" s="3"/>
    </row>
    <row r="226" spans="1:20" s="4" customFormat="1" ht="15" customHeight="1" x14ac:dyDescent="0.2">
      <c r="A226" s="4">
        <v>2007</v>
      </c>
      <c r="B226" s="4" t="s">
        <v>91</v>
      </c>
      <c r="C226" s="4">
        <v>2</v>
      </c>
      <c r="D226" s="4">
        <v>6</v>
      </c>
      <c r="E226" s="4" t="s">
        <v>20</v>
      </c>
      <c r="F226" s="4">
        <v>220</v>
      </c>
      <c r="G226" s="4">
        <v>1997</v>
      </c>
      <c r="H226" s="4" t="s">
        <v>14</v>
      </c>
      <c r="I226" s="5">
        <v>4.72</v>
      </c>
      <c r="J226" s="3">
        <v>6500</v>
      </c>
      <c r="K226" s="3">
        <v>1377</v>
      </c>
      <c r="L226" s="3">
        <v>265</v>
      </c>
      <c r="M226" s="5">
        <v>35.6</v>
      </c>
      <c r="N226" s="5">
        <f t="shared" si="18"/>
        <v>7.5423728813559325</v>
      </c>
      <c r="O226" s="5">
        <f t="shared" si="16"/>
        <v>10.953846153846154</v>
      </c>
      <c r="P226" s="8">
        <v>39384</v>
      </c>
      <c r="Q226" s="6">
        <v>22.4</v>
      </c>
      <c r="R226" s="5">
        <v>3.02</v>
      </c>
      <c r="S226" s="6">
        <v>11</v>
      </c>
      <c r="T226" s="3"/>
    </row>
    <row r="227" spans="1:20" s="4" customFormat="1" ht="15" customHeight="1" x14ac:dyDescent="0.2">
      <c r="A227" s="4">
        <v>2008</v>
      </c>
      <c r="B227" s="4" t="s">
        <v>91</v>
      </c>
      <c r="C227" s="4">
        <v>2</v>
      </c>
      <c r="D227" s="4">
        <v>6</v>
      </c>
      <c r="E227" s="4" t="s">
        <v>20</v>
      </c>
      <c r="F227" s="4">
        <v>220</v>
      </c>
      <c r="G227" s="4">
        <v>1997</v>
      </c>
      <c r="H227" s="4" t="s">
        <v>14</v>
      </c>
      <c r="I227" s="5">
        <v>4.72</v>
      </c>
      <c r="J227" s="3">
        <v>6500</v>
      </c>
      <c r="K227" s="3">
        <v>1377</v>
      </c>
      <c r="L227" s="3">
        <v>268</v>
      </c>
      <c r="M227" s="5">
        <v>35.799999999999997</v>
      </c>
      <c r="N227" s="5">
        <f t="shared" si="18"/>
        <v>7.5847457627118642</v>
      </c>
      <c r="O227" s="5">
        <f t="shared" si="16"/>
        <v>11.015384615384615</v>
      </c>
      <c r="P227" s="8">
        <v>39750</v>
      </c>
      <c r="Q227" s="6">
        <v>23</v>
      </c>
      <c r="R227" s="5">
        <v>3.3</v>
      </c>
      <c r="S227" s="6">
        <v>10.95</v>
      </c>
      <c r="T227" s="3"/>
    </row>
    <row r="228" spans="1:20" s="4" customFormat="1" ht="15" customHeight="1" x14ac:dyDescent="0.2">
      <c r="A228" s="4">
        <v>2009</v>
      </c>
      <c r="B228" s="4" t="s">
        <v>91</v>
      </c>
      <c r="C228" s="4">
        <v>2</v>
      </c>
      <c r="D228" s="4">
        <v>6</v>
      </c>
      <c r="E228" s="4" t="s">
        <v>20</v>
      </c>
      <c r="F228" s="4">
        <v>220</v>
      </c>
      <c r="G228" s="4">
        <v>1997</v>
      </c>
      <c r="H228" s="4" t="s">
        <v>14</v>
      </c>
      <c r="I228" s="5">
        <v>4.72</v>
      </c>
      <c r="J228" s="3">
        <v>6500</v>
      </c>
      <c r="K228" s="3">
        <v>1377</v>
      </c>
      <c r="L228" s="3">
        <v>270</v>
      </c>
      <c r="M228" s="5">
        <v>26.8</v>
      </c>
      <c r="N228" s="5">
        <f t="shared" si="18"/>
        <v>5.6779661016949161</v>
      </c>
      <c r="O228" s="5">
        <f t="shared" si="16"/>
        <v>8.2461538461538453</v>
      </c>
      <c r="P228" s="8">
        <v>40101</v>
      </c>
      <c r="Q228" s="6">
        <v>21.2</v>
      </c>
      <c r="R228" s="5">
        <v>3.42</v>
      </c>
      <c r="S228" s="6">
        <v>7.6</v>
      </c>
      <c r="T228" s="3"/>
    </row>
    <row r="229" spans="1:20" s="4" customFormat="1" ht="15" customHeight="1" x14ac:dyDescent="0.2">
      <c r="A229" s="4">
        <v>2010</v>
      </c>
      <c r="B229" s="4" t="s">
        <v>91</v>
      </c>
      <c r="C229" s="4">
        <v>2</v>
      </c>
      <c r="D229" s="4">
        <v>6</v>
      </c>
      <c r="E229" s="4" t="s">
        <v>20</v>
      </c>
      <c r="F229" s="4">
        <v>220</v>
      </c>
      <c r="G229" s="4">
        <v>1997</v>
      </c>
      <c r="H229" s="4" t="s">
        <v>14</v>
      </c>
      <c r="I229" s="5">
        <v>4.72</v>
      </c>
      <c r="J229" s="3">
        <v>6500</v>
      </c>
      <c r="K229" s="3">
        <v>1377</v>
      </c>
      <c r="L229" s="3">
        <v>180</v>
      </c>
      <c r="M229" s="5">
        <v>28.8</v>
      </c>
      <c r="N229" s="5">
        <f t="shared" si="18"/>
        <v>6.1016949152542379</v>
      </c>
      <c r="O229" s="5">
        <f t="shared" si="16"/>
        <v>8.861538461538462</v>
      </c>
      <c r="P229" s="8">
        <v>40473</v>
      </c>
      <c r="Q229" s="6">
        <v>20</v>
      </c>
      <c r="R229" s="5">
        <v>3.03</v>
      </c>
      <c r="S229" s="6">
        <v>11</v>
      </c>
      <c r="T229" s="3"/>
    </row>
    <row r="230" spans="1:20" s="4" customFormat="1" ht="15" customHeight="1" x14ac:dyDescent="0.2">
      <c r="A230" s="4">
        <v>2011</v>
      </c>
      <c r="B230" s="4" t="s">
        <v>91</v>
      </c>
      <c r="C230" s="4">
        <v>2</v>
      </c>
      <c r="D230" s="4">
        <v>6</v>
      </c>
      <c r="E230" s="4" t="s">
        <v>20</v>
      </c>
      <c r="F230" s="4">
        <v>220</v>
      </c>
      <c r="G230" s="4">
        <v>1997</v>
      </c>
      <c r="H230" s="4" t="s">
        <v>14</v>
      </c>
      <c r="I230" s="5">
        <v>4.72</v>
      </c>
      <c r="J230" s="3">
        <v>6500</v>
      </c>
      <c r="K230" s="3">
        <v>1377</v>
      </c>
      <c r="L230" s="3">
        <v>215</v>
      </c>
      <c r="M230" s="5">
        <v>21.3</v>
      </c>
      <c r="N230" s="5">
        <f t="shared" si="18"/>
        <v>4.5127118644067803</v>
      </c>
      <c r="O230" s="5">
        <f t="shared" si="16"/>
        <v>6.5538461538461537</v>
      </c>
      <c r="P230" s="8">
        <v>40846</v>
      </c>
      <c r="Q230" s="6">
        <v>21.8</v>
      </c>
      <c r="R230" s="5">
        <v>3.25</v>
      </c>
      <c r="S230" s="6">
        <v>10.95</v>
      </c>
      <c r="T230" s="3"/>
    </row>
    <row r="231" spans="1:20" s="4" customFormat="1" ht="15" customHeight="1" x14ac:dyDescent="0.2">
      <c r="A231" s="4">
        <v>2012</v>
      </c>
      <c r="B231" s="4" t="s">
        <v>91</v>
      </c>
      <c r="C231" s="4">
        <v>2</v>
      </c>
      <c r="D231" s="4">
        <v>6</v>
      </c>
      <c r="E231" s="4" t="s">
        <v>20</v>
      </c>
      <c r="F231" s="4">
        <v>220</v>
      </c>
      <c r="G231" s="4">
        <v>1997</v>
      </c>
      <c r="H231" s="4" t="s">
        <v>14</v>
      </c>
      <c r="I231" s="5">
        <v>4.72</v>
      </c>
      <c r="J231" s="3">
        <v>6500</v>
      </c>
      <c r="K231" s="3">
        <v>1377</v>
      </c>
      <c r="L231" s="3">
        <v>220</v>
      </c>
      <c r="M231" s="5">
        <v>22.84</v>
      </c>
      <c r="N231" s="5">
        <f t="shared" si="18"/>
        <v>4.8389830508474576</v>
      </c>
      <c r="O231" s="5">
        <f t="shared" si="16"/>
        <v>7.0276923076923081</v>
      </c>
      <c r="P231" s="8">
        <v>41201</v>
      </c>
      <c r="Q231" s="6">
        <f>(21.6+20.8+22.2)/3</f>
        <v>21.533333333333335</v>
      </c>
      <c r="R231" s="5">
        <f>(3.18+3.13+3.19)/3</f>
        <v>3.1666666666666665</v>
      </c>
      <c r="S231" s="6">
        <f>(9.67+9.78+9.76)/3</f>
        <v>9.7366666666666664</v>
      </c>
      <c r="T231" s="3"/>
    </row>
    <row r="232" spans="1:20" s="4" customFormat="1" ht="15" customHeight="1" x14ac:dyDescent="0.2">
      <c r="A232" s="4">
        <v>2008</v>
      </c>
      <c r="B232" s="4" t="s">
        <v>97</v>
      </c>
      <c r="C232" s="4">
        <v>1</v>
      </c>
      <c r="D232" s="4">
        <v>1</v>
      </c>
      <c r="E232" s="4" t="s">
        <v>64</v>
      </c>
      <c r="F232" s="4">
        <v>6</v>
      </c>
      <c r="G232" s="4">
        <v>1984</v>
      </c>
      <c r="H232" s="4" t="s">
        <v>65</v>
      </c>
      <c r="I232" s="5">
        <v>2.81</v>
      </c>
      <c r="J232" s="4">
        <v>2755</v>
      </c>
      <c r="K232" s="3">
        <v>1027</v>
      </c>
      <c r="L232" s="3"/>
      <c r="M232" s="5">
        <v>36.799999999999997</v>
      </c>
      <c r="N232" s="5">
        <f>(M232/(I232+I238+I244))</f>
        <v>4.3653618030842232</v>
      </c>
      <c r="O232" s="5">
        <f>SUM(M232*2000)/(J232+J238+J244)</f>
        <v>8.9050211736237141</v>
      </c>
      <c r="Q232" s="6"/>
      <c r="R232" s="5"/>
      <c r="S232" s="6"/>
      <c r="T232" s="3"/>
    </row>
    <row r="233" spans="1:20" s="4" customFormat="1" ht="15" customHeight="1" x14ac:dyDescent="0.2">
      <c r="A233" s="4">
        <v>2008</v>
      </c>
      <c r="B233" s="4" t="s">
        <v>97</v>
      </c>
      <c r="C233" s="4">
        <v>1</v>
      </c>
      <c r="D233" s="4">
        <v>2</v>
      </c>
      <c r="E233" s="4" t="s">
        <v>64</v>
      </c>
      <c r="F233" s="4">
        <v>667</v>
      </c>
      <c r="G233" s="4">
        <v>1977</v>
      </c>
      <c r="H233" s="4" t="s">
        <v>65</v>
      </c>
      <c r="I233" s="5">
        <v>2.41</v>
      </c>
      <c r="J233" s="4">
        <v>2500</v>
      </c>
      <c r="K233" s="3">
        <v>1184</v>
      </c>
      <c r="L233" s="3"/>
      <c r="M233" s="5"/>
      <c r="N233" s="5"/>
      <c r="O233" s="5"/>
      <c r="Q233" s="6"/>
      <c r="R233" s="5"/>
      <c r="S233" s="6"/>
      <c r="T233" s="3"/>
    </row>
    <row r="234" spans="1:20" s="4" customFormat="1" ht="15" customHeight="1" x14ac:dyDescent="0.2">
      <c r="A234" s="4">
        <v>2008</v>
      </c>
      <c r="B234" s="4" t="s">
        <v>97</v>
      </c>
      <c r="C234" s="4">
        <v>3</v>
      </c>
      <c r="D234" s="4">
        <v>4</v>
      </c>
      <c r="E234" s="4" t="s">
        <v>64</v>
      </c>
      <c r="F234" s="1"/>
      <c r="G234" s="4">
        <v>1977</v>
      </c>
      <c r="H234" s="4" t="s">
        <v>66</v>
      </c>
      <c r="I234" s="5">
        <v>1.1299999999999999</v>
      </c>
      <c r="J234" s="4">
        <v>745</v>
      </c>
      <c r="K234" s="3">
        <v>659</v>
      </c>
      <c r="L234" s="3"/>
      <c r="M234" s="5"/>
      <c r="N234" s="5"/>
      <c r="O234" s="5"/>
      <c r="Q234" s="6"/>
      <c r="R234" s="5"/>
      <c r="S234" s="6"/>
      <c r="T234" s="3"/>
    </row>
    <row r="235" spans="1:20" s="4" customFormat="1" ht="15" customHeight="1" x14ac:dyDescent="0.2">
      <c r="A235" s="4">
        <v>2009</v>
      </c>
      <c r="B235" s="4" t="s">
        <v>97</v>
      </c>
      <c r="C235" s="4">
        <v>1</v>
      </c>
      <c r="D235" s="4">
        <v>1</v>
      </c>
      <c r="E235" s="4" t="s">
        <v>64</v>
      </c>
      <c r="F235" s="4">
        <v>6</v>
      </c>
      <c r="G235" s="4">
        <v>1984</v>
      </c>
      <c r="H235" s="4" t="s">
        <v>65</v>
      </c>
      <c r="I235" s="5">
        <v>2.81</v>
      </c>
      <c r="J235" s="4">
        <v>2755</v>
      </c>
      <c r="K235" s="3">
        <v>1027</v>
      </c>
      <c r="L235" s="3"/>
      <c r="M235" s="5"/>
      <c r="N235" s="5">
        <f>(M235/(I235+I241+I247))</f>
        <v>0</v>
      </c>
      <c r="O235" s="5">
        <f>SUM(M235*2000)/(J235+J241+J247)</f>
        <v>0</v>
      </c>
      <c r="Q235" s="6"/>
      <c r="R235" s="5"/>
      <c r="S235" s="6"/>
      <c r="T235" s="3"/>
    </row>
    <row r="236" spans="1:20" s="4" customFormat="1" ht="15" customHeight="1" x14ac:dyDescent="0.2">
      <c r="A236" s="4">
        <v>2009</v>
      </c>
      <c r="B236" s="4" t="s">
        <v>97</v>
      </c>
      <c r="C236" s="4">
        <v>1</v>
      </c>
      <c r="D236" s="4">
        <v>2</v>
      </c>
      <c r="E236" s="4" t="s">
        <v>64</v>
      </c>
      <c r="F236" s="4">
        <v>667</v>
      </c>
      <c r="G236" s="4">
        <v>1977</v>
      </c>
      <c r="H236" s="4" t="s">
        <v>65</v>
      </c>
      <c r="I236" s="5">
        <v>2.41</v>
      </c>
      <c r="J236" s="4">
        <v>2500</v>
      </c>
      <c r="K236" s="3">
        <v>1184</v>
      </c>
      <c r="L236" s="3"/>
      <c r="M236" s="5"/>
      <c r="N236" s="5"/>
      <c r="O236" s="5"/>
      <c r="Q236" s="6"/>
      <c r="R236" s="5"/>
      <c r="S236" s="6"/>
      <c r="T236" s="3"/>
    </row>
    <row r="237" spans="1:20" s="4" customFormat="1" ht="15" customHeight="1" x14ac:dyDescent="0.2">
      <c r="A237" s="4">
        <v>2009</v>
      </c>
      <c r="B237" s="4" t="s">
        <v>97</v>
      </c>
      <c r="C237" s="4">
        <v>3</v>
      </c>
      <c r="D237" s="4">
        <v>4</v>
      </c>
      <c r="E237" s="4" t="s">
        <v>64</v>
      </c>
      <c r="F237" s="1"/>
      <c r="G237" s="4">
        <v>1977</v>
      </c>
      <c r="H237" s="4" t="s">
        <v>66</v>
      </c>
      <c r="I237" s="5">
        <v>1.1299999999999999</v>
      </c>
      <c r="J237" s="4">
        <v>745</v>
      </c>
      <c r="K237" s="3">
        <v>659</v>
      </c>
      <c r="L237" s="3"/>
      <c r="M237" s="5"/>
      <c r="N237" s="5"/>
      <c r="O237" s="5"/>
      <c r="Q237" s="6"/>
      <c r="R237" s="5"/>
      <c r="S237" s="6"/>
      <c r="T237" s="3"/>
    </row>
    <row r="238" spans="1:20" s="4" customFormat="1" ht="15" customHeight="1" x14ac:dyDescent="0.2">
      <c r="A238" s="4">
        <v>2010</v>
      </c>
      <c r="B238" s="4" t="s">
        <v>97</v>
      </c>
      <c r="C238" s="4">
        <v>1</v>
      </c>
      <c r="D238" s="4">
        <v>1</v>
      </c>
      <c r="E238" s="4" t="s">
        <v>64</v>
      </c>
      <c r="F238" s="4">
        <v>6</v>
      </c>
      <c r="G238" s="4">
        <v>1984</v>
      </c>
      <c r="H238" s="4" t="s">
        <v>65</v>
      </c>
      <c r="I238" s="5">
        <v>2.81</v>
      </c>
      <c r="J238" s="4">
        <v>2755</v>
      </c>
      <c r="K238" s="3">
        <v>1027</v>
      </c>
      <c r="L238" s="3"/>
      <c r="M238" s="5">
        <v>21.9</v>
      </c>
      <c r="N238" s="5">
        <f>(M238/(I238+I247+I253))</f>
        <v>0.96010521701008311</v>
      </c>
      <c r="O238" s="5">
        <f>SUM(M238*2000)/(J238+J247+J253)</f>
        <v>15.898366606170599</v>
      </c>
      <c r="Q238" s="6"/>
      <c r="R238" s="5"/>
      <c r="S238" s="6"/>
      <c r="T238" s="3"/>
    </row>
    <row r="239" spans="1:20" s="4" customFormat="1" ht="15" customHeight="1" x14ac:dyDescent="0.2">
      <c r="A239" s="4">
        <v>2010</v>
      </c>
      <c r="B239" s="4" t="s">
        <v>97</v>
      </c>
      <c r="C239" s="4">
        <v>1</v>
      </c>
      <c r="D239" s="4">
        <v>2</v>
      </c>
      <c r="E239" s="4" t="s">
        <v>64</v>
      </c>
      <c r="F239" s="4">
        <v>667</v>
      </c>
      <c r="G239" s="4">
        <v>1977</v>
      </c>
      <c r="H239" s="4" t="s">
        <v>65</v>
      </c>
      <c r="I239" s="5">
        <v>2.41</v>
      </c>
      <c r="J239" s="4">
        <v>2500</v>
      </c>
      <c r="K239" s="3">
        <v>1184</v>
      </c>
      <c r="L239" s="3"/>
      <c r="M239" s="5"/>
      <c r="N239" s="5"/>
      <c r="O239" s="5"/>
      <c r="Q239" s="6"/>
      <c r="R239" s="5"/>
      <c r="S239" s="6"/>
      <c r="T239" s="3"/>
    </row>
    <row r="240" spans="1:20" s="4" customFormat="1" ht="15" customHeight="1" x14ac:dyDescent="0.2">
      <c r="A240" s="4">
        <v>2010</v>
      </c>
      <c r="B240" s="4" t="s">
        <v>97</v>
      </c>
      <c r="C240" s="4">
        <v>3</v>
      </c>
      <c r="D240" s="4">
        <v>4</v>
      </c>
      <c r="E240" s="4" t="s">
        <v>64</v>
      </c>
      <c r="F240" s="1"/>
      <c r="G240" s="4">
        <v>1977</v>
      </c>
      <c r="H240" s="4" t="s">
        <v>66</v>
      </c>
      <c r="I240" s="5">
        <v>1.1299999999999999</v>
      </c>
      <c r="J240" s="4">
        <v>745</v>
      </c>
      <c r="K240" s="3">
        <v>659</v>
      </c>
      <c r="L240" s="3"/>
      <c r="M240" s="5"/>
      <c r="N240" s="5"/>
      <c r="O240" s="5"/>
      <c r="Q240" s="6"/>
      <c r="R240" s="5"/>
      <c r="S240" s="6"/>
      <c r="T240" s="3"/>
    </row>
    <row r="241" spans="1:20" s="4" customFormat="1" ht="15" customHeight="1" x14ac:dyDescent="0.2">
      <c r="A241" s="4">
        <v>2011</v>
      </c>
      <c r="B241" s="4" t="s">
        <v>97</v>
      </c>
      <c r="C241" s="4">
        <v>1</v>
      </c>
      <c r="D241" s="4">
        <v>1</v>
      </c>
      <c r="E241" s="4" t="s">
        <v>64</v>
      </c>
      <c r="F241" s="4">
        <v>6</v>
      </c>
      <c r="G241" s="4">
        <v>1984</v>
      </c>
      <c r="H241" s="4" t="s">
        <v>65</v>
      </c>
      <c r="I241" s="5">
        <v>2.81</v>
      </c>
      <c r="J241" s="4">
        <v>2755</v>
      </c>
      <c r="K241" s="3">
        <v>1027</v>
      </c>
      <c r="L241" s="3"/>
      <c r="M241" s="5">
        <v>21.3</v>
      </c>
      <c r="N241" s="5">
        <f>(M241/(I241+I250+I256))</f>
        <v>1.6627634660421546</v>
      </c>
      <c r="O241" s="5">
        <f>SUM(M241*2000)/(J241+J250+J256)</f>
        <v>15.462794918330308</v>
      </c>
      <c r="Q241" s="6"/>
      <c r="R241" s="5"/>
      <c r="S241" s="6"/>
      <c r="T241" s="3"/>
    </row>
    <row r="242" spans="1:20" s="4" customFormat="1" ht="15" customHeight="1" x14ac:dyDescent="0.2">
      <c r="A242" s="4">
        <v>2011</v>
      </c>
      <c r="B242" s="4" t="s">
        <v>97</v>
      </c>
      <c r="C242" s="4">
        <v>1</v>
      </c>
      <c r="D242" s="4">
        <v>2</v>
      </c>
      <c r="E242" s="4" t="s">
        <v>64</v>
      </c>
      <c r="F242" s="4">
        <v>667</v>
      </c>
      <c r="G242" s="4">
        <v>1977</v>
      </c>
      <c r="H242" s="4" t="s">
        <v>65</v>
      </c>
      <c r="I242" s="5">
        <v>2.41</v>
      </c>
      <c r="J242" s="4">
        <v>2500</v>
      </c>
      <c r="K242" s="3">
        <v>1184</v>
      </c>
      <c r="L242" s="3"/>
      <c r="M242" s="5"/>
      <c r="N242" s="5"/>
      <c r="O242" s="5"/>
      <c r="Q242" s="6"/>
      <c r="R242" s="5"/>
      <c r="S242" s="6"/>
      <c r="T242" s="3"/>
    </row>
    <row r="243" spans="1:20" s="4" customFormat="1" ht="15" customHeight="1" x14ac:dyDescent="0.2">
      <c r="A243" s="4">
        <v>2011</v>
      </c>
      <c r="B243" s="4" t="s">
        <v>97</v>
      </c>
      <c r="C243" s="4">
        <v>3</v>
      </c>
      <c r="D243" s="4">
        <v>4</v>
      </c>
      <c r="E243" s="4" t="s">
        <v>64</v>
      </c>
      <c r="F243" s="1"/>
      <c r="G243" s="4">
        <v>1977</v>
      </c>
      <c r="H243" s="4" t="s">
        <v>66</v>
      </c>
      <c r="I243" s="5">
        <v>1.1299999999999999</v>
      </c>
      <c r="J243" s="4">
        <v>745</v>
      </c>
      <c r="K243" s="3">
        <v>659</v>
      </c>
      <c r="L243" s="3"/>
      <c r="M243" s="5"/>
      <c r="N243" s="5"/>
      <c r="O243" s="5"/>
      <c r="Q243" s="6"/>
      <c r="R243" s="5"/>
      <c r="S243" s="6"/>
      <c r="T243" s="3"/>
    </row>
    <row r="244" spans="1:20" s="4" customFormat="1" ht="15" customHeight="1" x14ac:dyDescent="0.2">
      <c r="A244" s="4">
        <v>2012</v>
      </c>
      <c r="B244" s="4" t="s">
        <v>97</v>
      </c>
      <c r="C244" s="4">
        <v>1</v>
      </c>
      <c r="D244" s="4">
        <v>1</v>
      </c>
      <c r="E244" s="4" t="s">
        <v>64</v>
      </c>
      <c r="F244" s="4">
        <v>6</v>
      </c>
      <c r="G244" s="4">
        <v>1984</v>
      </c>
      <c r="H244" s="4" t="s">
        <v>65</v>
      </c>
      <c r="I244" s="5">
        <v>2.81</v>
      </c>
      <c r="J244" s="4">
        <v>2755</v>
      </c>
      <c r="K244" s="3">
        <v>1027</v>
      </c>
      <c r="L244" s="3"/>
      <c r="M244" s="5"/>
      <c r="N244" s="5">
        <f>(M244/(I244+I253+I259))</f>
        <v>0</v>
      </c>
      <c r="O244" s="5">
        <f>SUM(M244*2000)/(J244+J253+J259)</f>
        <v>0</v>
      </c>
      <c r="Q244" s="6"/>
      <c r="R244" s="5"/>
      <c r="S244" s="6"/>
      <c r="T244" s="3"/>
    </row>
    <row r="245" spans="1:20" s="4" customFormat="1" ht="15" customHeight="1" x14ac:dyDescent="0.2">
      <c r="A245" s="4">
        <v>2012</v>
      </c>
      <c r="B245" s="4" t="s">
        <v>97</v>
      </c>
      <c r="C245" s="4">
        <v>1</v>
      </c>
      <c r="D245" s="4">
        <v>2</v>
      </c>
      <c r="E245" s="4" t="s">
        <v>64</v>
      </c>
      <c r="F245" s="4">
        <v>667</v>
      </c>
      <c r="G245" s="4">
        <v>1977</v>
      </c>
      <c r="H245" s="4" t="s">
        <v>65</v>
      </c>
      <c r="I245" s="5">
        <v>2.41</v>
      </c>
      <c r="J245" s="4">
        <v>2500</v>
      </c>
      <c r="K245" s="3">
        <v>1184</v>
      </c>
      <c r="L245" s="3"/>
      <c r="M245" s="5"/>
      <c r="N245" s="5"/>
      <c r="O245" s="5"/>
      <c r="Q245" s="6"/>
      <c r="R245" s="5"/>
      <c r="S245" s="6"/>
      <c r="T245" s="3"/>
    </row>
    <row r="246" spans="1:20" s="4" customFormat="1" ht="15" customHeight="1" x14ac:dyDescent="0.2">
      <c r="A246" s="4">
        <v>2012</v>
      </c>
      <c r="B246" s="4" t="s">
        <v>97</v>
      </c>
      <c r="C246" s="4">
        <v>3</v>
      </c>
      <c r="D246" s="4">
        <v>4</v>
      </c>
      <c r="E246" s="4" t="s">
        <v>64</v>
      </c>
      <c r="F246" s="1"/>
      <c r="G246" s="4">
        <v>1977</v>
      </c>
      <c r="H246" s="4" t="s">
        <v>66</v>
      </c>
      <c r="I246" s="5">
        <v>1.1299999999999999</v>
      </c>
      <c r="J246" s="4">
        <v>745</v>
      </c>
      <c r="K246" s="3">
        <v>659</v>
      </c>
      <c r="L246" s="3"/>
      <c r="M246" s="5"/>
      <c r="N246" s="5"/>
      <c r="O246" s="5"/>
      <c r="Q246" s="6"/>
      <c r="R246" s="5"/>
      <c r="S246" s="6"/>
      <c r="T246" s="3"/>
    </row>
    <row r="247" spans="1:20" s="4" customFormat="1" ht="15" customHeight="1" x14ac:dyDescent="0.2">
      <c r="A247" s="4">
        <v>2000</v>
      </c>
      <c r="B247" s="4" t="s">
        <v>119</v>
      </c>
      <c r="C247" s="4" t="s">
        <v>134</v>
      </c>
      <c r="E247" s="4" t="s">
        <v>70</v>
      </c>
      <c r="F247" s="4">
        <v>509</v>
      </c>
      <c r="G247" s="1"/>
      <c r="H247" s="1"/>
      <c r="I247" s="5">
        <v>10</v>
      </c>
      <c r="K247" s="3"/>
      <c r="L247" s="3"/>
      <c r="M247" s="5">
        <v>4.0490000000000004</v>
      </c>
      <c r="N247" s="5">
        <f>SUM(M247/I247)</f>
        <v>0.40490000000000004</v>
      </c>
      <c r="O247" s="5"/>
      <c r="Q247" s="6"/>
      <c r="R247" s="5"/>
      <c r="S247" s="6"/>
      <c r="T247" s="3"/>
    </row>
    <row r="248" spans="1:20" s="4" customFormat="1" ht="15" customHeight="1" x14ac:dyDescent="0.2">
      <c r="A248" s="4">
        <v>2000</v>
      </c>
      <c r="B248" s="4" t="s">
        <v>119</v>
      </c>
      <c r="C248" s="4" t="s">
        <v>134</v>
      </c>
      <c r="E248" s="4" t="s">
        <v>70</v>
      </c>
      <c r="F248" s="4">
        <v>656</v>
      </c>
      <c r="G248" s="1"/>
      <c r="H248" s="1"/>
      <c r="I248" s="5">
        <v>10</v>
      </c>
      <c r="K248" s="3"/>
      <c r="L248" s="3"/>
      <c r="M248" s="5">
        <v>2.09</v>
      </c>
      <c r="N248" s="5">
        <f>SUM(M248/I248)</f>
        <v>0.20899999999999999</v>
      </c>
      <c r="O248" s="5"/>
      <c r="Q248" s="6"/>
      <c r="R248" s="5"/>
      <c r="S248" s="6"/>
      <c r="T248" s="3"/>
    </row>
    <row r="249" spans="1:20" s="4" customFormat="1" ht="15" customHeight="1" x14ac:dyDescent="0.2">
      <c r="A249" s="4">
        <v>2006</v>
      </c>
      <c r="B249" s="4" t="s">
        <v>119</v>
      </c>
      <c r="C249" s="4" t="s">
        <v>134</v>
      </c>
      <c r="E249" s="4" t="s">
        <v>70</v>
      </c>
      <c r="F249" s="4">
        <v>284</v>
      </c>
      <c r="G249" s="1"/>
      <c r="H249" s="1"/>
      <c r="I249" s="5"/>
      <c r="K249" s="3"/>
      <c r="L249" s="3"/>
      <c r="M249" s="5"/>
      <c r="N249" s="5"/>
      <c r="O249" s="5"/>
      <c r="Q249" s="6"/>
      <c r="R249" s="5"/>
      <c r="S249" s="6"/>
      <c r="T249" s="3"/>
    </row>
    <row r="250" spans="1:20" s="4" customFormat="1" ht="15" customHeight="1" x14ac:dyDescent="0.2">
      <c r="A250" s="4">
        <v>2006</v>
      </c>
      <c r="B250" s="4" t="s">
        <v>119</v>
      </c>
      <c r="C250" s="4" t="s">
        <v>134</v>
      </c>
      <c r="E250" s="4" t="s">
        <v>70</v>
      </c>
      <c r="F250" s="4">
        <v>509</v>
      </c>
      <c r="G250" s="1"/>
      <c r="H250" s="1"/>
      <c r="I250" s="5"/>
      <c r="K250" s="3"/>
      <c r="L250" s="3"/>
      <c r="M250" s="5"/>
      <c r="N250" s="5"/>
      <c r="O250" s="5"/>
      <c r="Q250" s="6"/>
      <c r="R250" s="5"/>
      <c r="S250" s="6"/>
      <c r="T250" s="3"/>
    </row>
    <row r="251" spans="1:20" s="4" customFormat="1" ht="15" customHeight="1" x14ac:dyDescent="0.2">
      <c r="A251" s="4">
        <v>2006</v>
      </c>
      <c r="B251" s="4" t="s">
        <v>119</v>
      </c>
      <c r="C251" s="4" t="s">
        <v>134</v>
      </c>
      <c r="E251" s="4" t="s">
        <v>70</v>
      </c>
      <c r="F251" s="4">
        <v>656</v>
      </c>
      <c r="G251" s="1"/>
      <c r="H251" s="1"/>
      <c r="I251" s="5"/>
      <c r="K251" s="3"/>
      <c r="L251" s="3"/>
      <c r="M251" s="5"/>
      <c r="N251" s="5"/>
      <c r="O251" s="5"/>
      <c r="Q251" s="6"/>
      <c r="R251" s="5"/>
      <c r="S251" s="6"/>
      <c r="T251" s="3"/>
    </row>
    <row r="252" spans="1:20" s="4" customFormat="1" ht="15" customHeight="1" x14ac:dyDescent="0.2">
      <c r="A252" s="4">
        <v>2007</v>
      </c>
      <c r="B252" s="4" t="s">
        <v>119</v>
      </c>
      <c r="C252" s="4" t="s">
        <v>134</v>
      </c>
      <c r="E252" s="4" t="s">
        <v>70</v>
      </c>
      <c r="F252" s="4">
        <v>284</v>
      </c>
      <c r="G252" s="1"/>
      <c r="H252" s="1"/>
      <c r="I252" s="5">
        <v>10</v>
      </c>
      <c r="K252" s="3"/>
      <c r="L252" s="3"/>
      <c r="M252" s="5">
        <v>18.399999999999999</v>
      </c>
      <c r="N252" s="5">
        <f t="shared" ref="N252:N261" si="19">SUM(M252/I252)</f>
        <v>1.8399999999999999</v>
      </c>
      <c r="O252" s="5"/>
      <c r="P252" s="8">
        <v>39371</v>
      </c>
      <c r="Q252" s="6">
        <v>22.6</v>
      </c>
      <c r="R252" s="5">
        <v>3.19</v>
      </c>
      <c r="S252" s="6">
        <v>11.8</v>
      </c>
      <c r="T252" s="3"/>
    </row>
    <row r="253" spans="1:20" s="4" customFormat="1" ht="15" customHeight="1" x14ac:dyDescent="0.2">
      <c r="A253" s="4">
        <v>2007</v>
      </c>
      <c r="B253" s="4" t="s">
        <v>119</v>
      </c>
      <c r="C253" s="4" t="s">
        <v>134</v>
      </c>
      <c r="E253" s="4" t="s">
        <v>70</v>
      </c>
      <c r="F253" s="4">
        <v>509</v>
      </c>
      <c r="G253" s="1"/>
      <c r="H253" s="1"/>
      <c r="I253" s="5">
        <v>10</v>
      </c>
      <c r="K253" s="3"/>
      <c r="L253" s="3"/>
      <c r="M253" s="5">
        <v>20.100000000000001</v>
      </c>
      <c r="N253" s="5">
        <f t="shared" si="19"/>
        <v>2.0100000000000002</v>
      </c>
      <c r="O253" s="5"/>
      <c r="P253" s="8">
        <v>39371</v>
      </c>
      <c r="Q253" s="6">
        <v>22.6</v>
      </c>
      <c r="R253" s="5">
        <v>3.26</v>
      </c>
      <c r="S253" s="6">
        <v>9.4</v>
      </c>
      <c r="T253" s="3"/>
    </row>
    <row r="254" spans="1:20" s="4" customFormat="1" ht="15" customHeight="1" x14ac:dyDescent="0.2">
      <c r="A254" s="4">
        <v>2007</v>
      </c>
      <c r="B254" s="4" t="s">
        <v>119</v>
      </c>
      <c r="C254" s="4" t="s">
        <v>134</v>
      </c>
      <c r="E254" s="4" t="s">
        <v>70</v>
      </c>
      <c r="F254" s="4">
        <v>656</v>
      </c>
      <c r="G254" s="1"/>
      <c r="H254" s="1"/>
      <c r="I254" s="5">
        <v>10</v>
      </c>
      <c r="K254" s="3"/>
      <c r="L254" s="3"/>
      <c r="M254" s="5">
        <v>54.7</v>
      </c>
      <c r="N254" s="5">
        <f t="shared" si="19"/>
        <v>5.4700000000000006</v>
      </c>
      <c r="O254" s="5"/>
      <c r="P254" s="8">
        <v>39371</v>
      </c>
      <c r="Q254" s="6">
        <v>23.6</v>
      </c>
      <c r="R254" s="5">
        <v>3.2</v>
      </c>
      <c r="S254" s="6">
        <v>7.7</v>
      </c>
      <c r="T254" s="3"/>
    </row>
    <row r="255" spans="1:20" s="4" customFormat="1" ht="15" customHeight="1" x14ac:dyDescent="0.2">
      <c r="A255" s="4">
        <v>2008</v>
      </c>
      <c r="B255" s="4" t="s">
        <v>119</v>
      </c>
      <c r="C255" s="4" t="s">
        <v>134</v>
      </c>
      <c r="E255" s="4" t="s">
        <v>70</v>
      </c>
      <c r="F255" s="7" t="s">
        <v>71</v>
      </c>
      <c r="G255" s="1"/>
      <c r="H255" s="1"/>
      <c r="I255" s="5">
        <v>10</v>
      </c>
      <c r="K255" s="3"/>
      <c r="L255" s="3">
        <v>290</v>
      </c>
      <c r="M255" s="5">
        <v>96.6</v>
      </c>
      <c r="N255" s="5">
        <f t="shared" si="19"/>
        <v>9.66</v>
      </c>
      <c r="O255" s="5"/>
      <c r="P255" s="8">
        <v>39737</v>
      </c>
      <c r="Q255" s="6">
        <v>21.1</v>
      </c>
      <c r="R255" s="5">
        <v>3.56</v>
      </c>
      <c r="S255" s="6">
        <v>9.08</v>
      </c>
      <c r="T255" s="3"/>
    </row>
    <row r="256" spans="1:20" s="4" customFormat="1" ht="15" customHeight="1" x14ac:dyDescent="0.2">
      <c r="A256" s="4">
        <v>2009</v>
      </c>
      <c r="B256" s="4" t="s">
        <v>119</v>
      </c>
      <c r="C256" s="4" t="s">
        <v>134</v>
      </c>
      <c r="E256" s="4" t="s">
        <v>70</v>
      </c>
      <c r="F256" s="4">
        <v>284</v>
      </c>
      <c r="G256" s="1"/>
      <c r="H256" s="1"/>
      <c r="I256" s="5">
        <v>10</v>
      </c>
      <c r="K256" s="3"/>
      <c r="L256" s="3"/>
      <c r="M256" s="5"/>
      <c r="N256" s="5">
        <f t="shared" si="19"/>
        <v>0</v>
      </c>
      <c r="O256" s="5"/>
      <c r="P256" s="8"/>
      <c r="Q256" s="6"/>
      <c r="R256" s="5"/>
      <c r="S256" s="6"/>
      <c r="T256" s="3"/>
    </row>
    <row r="257" spans="1:20" s="4" customFormat="1" ht="15" customHeight="1" x14ac:dyDescent="0.2">
      <c r="A257" s="4">
        <v>2009</v>
      </c>
      <c r="B257" s="4" t="s">
        <v>119</v>
      </c>
      <c r="C257" s="4" t="s">
        <v>134</v>
      </c>
      <c r="E257" s="4" t="s">
        <v>70</v>
      </c>
      <c r="F257" s="4">
        <v>509</v>
      </c>
      <c r="G257" s="1"/>
      <c r="H257" s="1"/>
      <c r="I257" s="5">
        <v>10</v>
      </c>
      <c r="K257" s="3"/>
      <c r="L257" s="3"/>
      <c r="M257" s="5"/>
      <c r="N257" s="5">
        <f t="shared" si="19"/>
        <v>0</v>
      </c>
      <c r="O257" s="5"/>
      <c r="P257" s="8"/>
      <c r="Q257" s="6"/>
      <c r="R257" s="5"/>
      <c r="S257" s="6"/>
      <c r="T257" s="3"/>
    </row>
    <row r="258" spans="1:20" s="4" customFormat="1" ht="15" customHeight="1" x14ac:dyDescent="0.2">
      <c r="A258" s="4">
        <v>2009</v>
      </c>
      <c r="B258" s="4" t="s">
        <v>119</v>
      </c>
      <c r="C258" s="4" t="s">
        <v>134</v>
      </c>
      <c r="E258" s="4" t="s">
        <v>70</v>
      </c>
      <c r="F258" s="4">
        <v>656</v>
      </c>
      <c r="G258" s="1"/>
      <c r="H258" s="1"/>
      <c r="I258" s="5">
        <v>10</v>
      </c>
      <c r="K258" s="3"/>
      <c r="L258" s="3"/>
      <c r="M258" s="5">
        <v>51</v>
      </c>
      <c r="N258" s="5">
        <f t="shared" si="19"/>
        <v>5.0999999999999996</v>
      </c>
      <c r="O258" s="5"/>
      <c r="P258" s="8">
        <v>40095</v>
      </c>
      <c r="Q258" s="6">
        <v>24.6</v>
      </c>
      <c r="R258" s="5">
        <v>3.57</v>
      </c>
      <c r="S258" s="6">
        <v>6.3</v>
      </c>
      <c r="T258" s="3"/>
    </row>
    <row r="259" spans="1:20" s="4" customFormat="1" ht="15" customHeight="1" x14ac:dyDescent="0.2">
      <c r="A259" s="4">
        <v>2010</v>
      </c>
      <c r="B259" s="4" t="s">
        <v>119</v>
      </c>
      <c r="C259" s="4" t="s">
        <v>134</v>
      </c>
      <c r="E259" s="4" t="s">
        <v>70</v>
      </c>
      <c r="G259" s="1"/>
      <c r="H259" s="1"/>
      <c r="I259" s="5">
        <v>10</v>
      </c>
      <c r="K259" s="3"/>
      <c r="L259" s="3">
        <v>125</v>
      </c>
      <c r="M259" s="5">
        <v>47.5</v>
      </c>
      <c r="N259" s="5">
        <f t="shared" si="19"/>
        <v>4.75</v>
      </c>
      <c r="O259" s="5"/>
      <c r="P259" s="8">
        <v>40468</v>
      </c>
      <c r="Q259" s="6">
        <v>23.4</v>
      </c>
      <c r="R259" s="5">
        <v>3.21</v>
      </c>
      <c r="S259" s="6">
        <v>8.3000000000000007</v>
      </c>
      <c r="T259" s="3"/>
    </row>
    <row r="260" spans="1:20" s="4" customFormat="1" ht="15" customHeight="1" x14ac:dyDescent="0.2">
      <c r="A260" s="4">
        <v>2011</v>
      </c>
      <c r="B260" s="4" t="s">
        <v>119</v>
      </c>
      <c r="C260" s="4" t="s">
        <v>134</v>
      </c>
      <c r="E260" s="4" t="s">
        <v>70</v>
      </c>
      <c r="G260" s="1"/>
      <c r="H260" s="1"/>
      <c r="I260" s="5">
        <v>10</v>
      </c>
      <c r="K260" s="3"/>
      <c r="L260" s="3">
        <v>225</v>
      </c>
      <c r="M260" s="5">
        <v>63.69</v>
      </c>
      <c r="N260" s="5">
        <f t="shared" si="19"/>
        <v>6.3689999999999998</v>
      </c>
      <c r="O260" s="5"/>
      <c r="P260" s="8">
        <v>40840</v>
      </c>
      <c r="Q260" s="6">
        <v>21.4</v>
      </c>
      <c r="R260" s="5">
        <v>3.25</v>
      </c>
      <c r="S260" s="6">
        <v>8.6</v>
      </c>
      <c r="T260" s="3"/>
    </row>
    <row r="261" spans="1:20" s="4" customFormat="1" ht="15" customHeight="1" x14ac:dyDescent="0.2">
      <c r="A261" s="4">
        <v>2012</v>
      </c>
      <c r="B261" s="4" t="s">
        <v>119</v>
      </c>
      <c r="C261" s="4" t="s">
        <v>134</v>
      </c>
      <c r="E261" s="4" t="s">
        <v>70</v>
      </c>
      <c r="G261" s="1"/>
      <c r="H261" s="1"/>
      <c r="I261" s="5">
        <v>10</v>
      </c>
      <c r="K261" s="3"/>
      <c r="L261" s="3"/>
      <c r="M261" s="5">
        <f>25.16+38.68</f>
        <v>63.84</v>
      </c>
      <c r="N261" s="5">
        <f t="shared" si="19"/>
        <v>6.3840000000000003</v>
      </c>
      <c r="O261" s="5"/>
      <c r="P261" s="8" t="s">
        <v>68</v>
      </c>
      <c r="Q261" s="6">
        <f>(23+23.6+23+21.8+22.8)/5</f>
        <v>22.839999999999996</v>
      </c>
      <c r="R261" s="5">
        <f>(3.32+3.25+3.23+3.44+3.64)/5</f>
        <v>3.3759999999999999</v>
      </c>
      <c r="S261" s="6">
        <f>(9.9+7.98+8.96+9.3+8.38)/5</f>
        <v>8.9039999999999999</v>
      </c>
      <c r="T261" s="3"/>
    </row>
    <row r="262" spans="1:20" s="4" customFormat="1" ht="15" customHeight="1" x14ac:dyDescent="0.2">
      <c r="A262" s="4">
        <v>2000</v>
      </c>
      <c r="B262" s="4" t="s">
        <v>91</v>
      </c>
      <c r="C262" s="4">
        <v>2</v>
      </c>
      <c r="D262" s="4">
        <v>9</v>
      </c>
      <c r="E262" s="4" t="s">
        <v>70</v>
      </c>
      <c r="F262" s="4">
        <v>509</v>
      </c>
      <c r="G262" s="4">
        <v>1998</v>
      </c>
      <c r="H262" s="4" t="s">
        <v>14</v>
      </c>
      <c r="I262" s="5">
        <v>0.91</v>
      </c>
      <c r="J262" s="3">
        <v>1257</v>
      </c>
      <c r="K262" s="3">
        <f t="shared" ref="K262:K274" si="20">SUM(J262/I262)</f>
        <v>1381.3186813186812</v>
      </c>
      <c r="L262" s="3"/>
      <c r="M262" s="5">
        <v>2.9039999999999999</v>
      </c>
      <c r="N262" s="5">
        <f t="shared" ref="N262:N274" si="21">SUM(M262)/I262</f>
        <v>3.191208791208791</v>
      </c>
      <c r="O262" s="5">
        <f t="shared" ref="O262:O274" si="22">SUM(M262*2000)/J262</f>
        <v>4.6205250596658711</v>
      </c>
      <c r="P262" s="8">
        <v>37557</v>
      </c>
      <c r="Q262" s="6">
        <v>22.6</v>
      </c>
      <c r="R262" s="5">
        <v>3.08</v>
      </c>
      <c r="S262" s="6">
        <v>8.8000000000000007</v>
      </c>
      <c r="T262" s="3"/>
    </row>
    <row r="263" spans="1:20" s="4" customFormat="1" ht="15" customHeight="1" x14ac:dyDescent="0.2">
      <c r="A263" s="4">
        <v>2000</v>
      </c>
      <c r="B263" s="4" t="s">
        <v>91</v>
      </c>
      <c r="C263" s="4">
        <v>4</v>
      </c>
      <c r="E263" s="4" t="s">
        <v>70</v>
      </c>
      <c r="F263" s="4">
        <v>509</v>
      </c>
      <c r="G263" s="4">
        <v>1993</v>
      </c>
      <c r="I263" s="5">
        <v>3.14</v>
      </c>
      <c r="J263" s="3">
        <v>3418</v>
      </c>
      <c r="K263" s="3">
        <f t="shared" si="20"/>
        <v>1088.5350318471337</v>
      </c>
      <c r="L263" s="3">
        <v>195</v>
      </c>
      <c r="M263" s="5">
        <v>9.89</v>
      </c>
      <c r="N263" s="5">
        <f t="shared" si="21"/>
        <v>3.1496815286624202</v>
      </c>
      <c r="O263" s="5">
        <f t="shared" si="22"/>
        <v>5.7870099473376246</v>
      </c>
      <c r="P263" s="8">
        <v>36827</v>
      </c>
      <c r="Q263" s="6">
        <v>18.399999999999999</v>
      </c>
      <c r="R263" s="5">
        <v>3.09</v>
      </c>
      <c r="S263" s="6">
        <v>11.4</v>
      </c>
      <c r="T263" s="3"/>
    </row>
    <row r="264" spans="1:20" s="4" customFormat="1" ht="15" customHeight="1" x14ac:dyDescent="0.2">
      <c r="A264" s="4">
        <v>2001</v>
      </c>
      <c r="B264" s="4" t="s">
        <v>91</v>
      </c>
      <c r="C264" s="4">
        <v>2</v>
      </c>
      <c r="D264" s="4">
        <v>9</v>
      </c>
      <c r="E264" s="4" t="s">
        <v>70</v>
      </c>
      <c r="F264" s="4">
        <v>509</v>
      </c>
      <c r="G264" s="4">
        <v>1998</v>
      </c>
      <c r="H264" s="4" t="s">
        <v>14</v>
      </c>
      <c r="I264" s="5">
        <v>0.91</v>
      </c>
      <c r="J264" s="3">
        <v>1257</v>
      </c>
      <c r="K264" s="3">
        <f t="shared" si="20"/>
        <v>1381.3186813186812</v>
      </c>
      <c r="L264" s="3">
        <v>260</v>
      </c>
      <c r="M264" s="5">
        <v>3.61</v>
      </c>
      <c r="N264" s="5">
        <f t="shared" si="21"/>
        <v>3.9670329670329667</v>
      </c>
      <c r="O264" s="5">
        <f t="shared" si="22"/>
        <v>5.7438345266507556</v>
      </c>
      <c r="P264" s="8">
        <v>37195</v>
      </c>
      <c r="Q264" s="6">
        <v>23.4</v>
      </c>
      <c r="R264" s="5">
        <v>3.15</v>
      </c>
      <c r="S264" s="6">
        <v>10.199999999999999</v>
      </c>
      <c r="T264" s="3"/>
    </row>
    <row r="265" spans="1:20" s="4" customFormat="1" ht="15" customHeight="1" x14ac:dyDescent="0.2">
      <c r="A265" s="4">
        <v>2001</v>
      </c>
      <c r="B265" s="4" t="s">
        <v>91</v>
      </c>
      <c r="C265" s="4">
        <v>4</v>
      </c>
      <c r="E265" s="4" t="s">
        <v>70</v>
      </c>
      <c r="F265" s="4">
        <v>509</v>
      </c>
      <c r="G265" s="4">
        <v>1993</v>
      </c>
      <c r="I265" s="5">
        <v>3.14</v>
      </c>
      <c r="J265" s="3">
        <v>3418</v>
      </c>
      <c r="K265" s="3">
        <f t="shared" si="20"/>
        <v>1088.5350318471337</v>
      </c>
      <c r="L265" s="3">
        <v>280</v>
      </c>
      <c r="M265" s="5">
        <v>12.77</v>
      </c>
      <c r="N265" s="5">
        <f t="shared" si="21"/>
        <v>4.0668789808917198</v>
      </c>
      <c r="O265" s="5">
        <f t="shared" si="22"/>
        <v>7.4722059684025748</v>
      </c>
      <c r="P265" s="8">
        <v>37195</v>
      </c>
      <c r="Q265" s="6">
        <v>23.4</v>
      </c>
      <c r="R265" s="5">
        <v>3.15</v>
      </c>
      <c r="S265" s="6">
        <v>10.199999999999999</v>
      </c>
      <c r="T265" s="3"/>
    </row>
    <row r="266" spans="1:20" s="4" customFormat="1" ht="15" customHeight="1" x14ac:dyDescent="0.2">
      <c r="A266" s="4">
        <v>2002</v>
      </c>
      <c r="B266" s="4" t="s">
        <v>91</v>
      </c>
      <c r="C266" s="4">
        <v>2</v>
      </c>
      <c r="D266" s="4">
        <v>9</v>
      </c>
      <c r="E266" s="4" t="s">
        <v>70</v>
      </c>
      <c r="F266" s="4">
        <v>509</v>
      </c>
      <c r="G266" s="4">
        <v>1998</v>
      </c>
      <c r="H266" s="4" t="s">
        <v>14</v>
      </c>
      <c r="I266" s="5">
        <v>0.91</v>
      </c>
      <c r="J266" s="3">
        <v>1257</v>
      </c>
      <c r="K266" s="3">
        <f t="shared" si="20"/>
        <v>1381.3186813186812</v>
      </c>
      <c r="L266" s="3"/>
      <c r="M266" s="5">
        <v>2.86</v>
      </c>
      <c r="N266" s="5">
        <f t="shared" si="21"/>
        <v>3.1428571428571428</v>
      </c>
      <c r="O266" s="5">
        <f t="shared" si="22"/>
        <v>4.5505171042163886</v>
      </c>
      <c r="P266" s="8">
        <v>37917</v>
      </c>
      <c r="Q266" s="6">
        <v>25.8</v>
      </c>
      <c r="R266" s="5">
        <v>3.41</v>
      </c>
      <c r="S266" s="6">
        <v>7.2</v>
      </c>
      <c r="T266" s="3"/>
    </row>
    <row r="267" spans="1:20" s="4" customFormat="1" ht="15" customHeight="1" x14ac:dyDescent="0.2">
      <c r="A267" s="4">
        <v>2002</v>
      </c>
      <c r="B267" s="4" t="s">
        <v>91</v>
      </c>
      <c r="C267" s="4">
        <v>4</v>
      </c>
      <c r="E267" s="4" t="s">
        <v>70</v>
      </c>
      <c r="F267" s="4">
        <v>509</v>
      </c>
      <c r="G267" s="4">
        <v>1993</v>
      </c>
      <c r="I267" s="5">
        <v>3.14</v>
      </c>
      <c r="J267" s="3">
        <v>3418</v>
      </c>
      <c r="K267" s="3">
        <f t="shared" si="20"/>
        <v>1088.5350318471337</v>
      </c>
      <c r="L267" s="3"/>
      <c r="M267" s="5">
        <v>8.68</v>
      </c>
      <c r="N267" s="5">
        <f t="shared" si="21"/>
        <v>2.7643312101910826</v>
      </c>
      <c r="O267" s="5">
        <f t="shared" si="22"/>
        <v>5.0789935634874199</v>
      </c>
      <c r="P267" s="8">
        <v>37917</v>
      </c>
      <c r="Q267" s="6">
        <v>25.8</v>
      </c>
      <c r="R267" s="5">
        <v>3.27</v>
      </c>
      <c r="S267" s="6">
        <v>8.6</v>
      </c>
      <c r="T267" s="3"/>
    </row>
    <row r="268" spans="1:20" s="4" customFormat="1" ht="15" customHeight="1" x14ac:dyDescent="0.2">
      <c r="A268" s="4">
        <v>2003</v>
      </c>
      <c r="B268" s="4" t="s">
        <v>91</v>
      </c>
      <c r="C268" s="4">
        <v>2</v>
      </c>
      <c r="D268" s="4">
        <v>9</v>
      </c>
      <c r="E268" s="4" t="s">
        <v>70</v>
      </c>
      <c r="F268" s="4">
        <v>509</v>
      </c>
      <c r="G268" s="4">
        <v>1998</v>
      </c>
      <c r="H268" s="4" t="s">
        <v>14</v>
      </c>
      <c r="I268" s="5">
        <v>0.91</v>
      </c>
      <c r="J268" s="3">
        <v>1257</v>
      </c>
      <c r="K268" s="3">
        <f t="shared" si="20"/>
        <v>1381.3186813186812</v>
      </c>
      <c r="L268" s="3">
        <v>203</v>
      </c>
      <c r="M268" s="5">
        <v>2.1</v>
      </c>
      <c r="N268" s="5">
        <f t="shared" si="21"/>
        <v>2.3076923076923079</v>
      </c>
      <c r="O268" s="5">
        <f t="shared" si="22"/>
        <v>3.3412887828162292</v>
      </c>
      <c r="P268" s="8">
        <v>37897</v>
      </c>
      <c r="Q268" s="6">
        <v>24.2</v>
      </c>
      <c r="R268" s="5">
        <v>3.56</v>
      </c>
      <c r="S268" s="6">
        <v>5.6</v>
      </c>
      <c r="T268" s="3"/>
    </row>
    <row r="269" spans="1:20" s="4" customFormat="1" ht="15" customHeight="1" x14ac:dyDescent="0.2">
      <c r="A269" s="4">
        <v>2003</v>
      </c>
      <c r="B269" s="4" t="s">
        <v>91</v>
      </c>
      <c r="C269" s="4">
        <v>4</v>
      </c>
      <c r="E269" s="4" t="s">
        <v>70</v>
      </c>
      <c r="F269" s="4">
        <v>509</v>
      </c>
      <c r="G269" s="4">
        <v>1993</v>
      </c>
      <c r="I269" s="5">
        <v>3.14</v>
      </c>
      <c r="J269" s="3">
        <v>3418</v>
      </c>
      <c r="K269" s="3">
        <f t="shared" si="20"/>
        <v>1088.5350318471337</v>
      </c>
      <c r="L269" s="3">
        <v>169</v>
      </c>
      <c r="M269" s="5">
        <v>9.5</v>
      </c>
      <c r="N269" s="5">
        <f t="shared" si="21"/>
        <v>3.0254777070063694</v>
      </c>
      <c r="O269" s="5">
        <f t="shared" si="22"/>
        <v>5.558806319485079</v>
      </c>
      <c r="P269" s="8">
        <v>37909</v>
      </c>
      <c r="Q269" s="6">
        <v>26.8</v>
      </c>
      <c r="R269" s="5">
        <v>3.38</v>
      </c>
      <c r="S269" s="6">
        <v>5.7</v>
      </c>
      <c r="T269" s="3"/>
    </row>
    <row r="270" spans="1:20" s="4" customFormat="1" ht="15" customHeight="1" x14ac:dyDescent="0.2">
      <c r="A270" s="4">
        <v>2004</v>
      </c>
      <c r="B270" s="4" t="s">
        <v>91</v>
      </c>
      <c r="C270" s="4">
        <v>2</v>
      </c>
      <c r="D270" s="4">
        <v>9</v>
      </c>
      <c r="E270" s="4" t="s">
        <v>70</v>
      </c>
      <c r="F270" s="4">
        <v>509</v>
      </c>
      <c r="G270" s="4">
        <v>1998</v>
      </c>
      <c r="H270" s="4" t="s">
        <v>14</v>
      </c>
      <c r="I270" s="5">
        <v>0.91</v>
      </c>
      <c r="J270" s="3">
        <v>1257</v>
      </c>
      <c r="K270" s="3">
        <f t="shared" si="20"/>
        <v>1381.3186813186812</v>
      </c>
      <c r="L270" s="3">
        <v>212</v>
      </c>
      <c r="M270" s="5">
        <v>3.9</v>
      </c>
      <c r="N270" s="5">
        <f t="shared" si="21"/>
        <v>4.2857142857142856</v>
      </c>
      <c r="O270" s="5">
        <f t="shared" si="22"/>
        <v>6.2052505966587113</v>
      </c>
      <c r="P270" s="8">
        <v>24.8</v>
      </c>
      <c r="Q270" s="6">
        <v>24</v>
      </c>
      <c r="R270" s="5">
        <v>5.7</v>
      </c>
      <c r="S270" s="6"/>
      <c r="T270" s="3"/>
    </row>
    <row r="271" spans="1:20" s="4" customFormat="1" ht="15" customHeight="1" x14ac:dyDescent="0.2">
      <c r="A271" s="4">
        <v>2004</v>
      </c>
      <c r="B271" s="4" t="s">
        <v>91</v>
      </c>
      <c r="C271" s="4">
        <v>4</v>
      </c>
      <c r="E271" s="4" t="s">
        <v>70</v>
      </c>
      <c r="F271" s="4">
        <v>509</v>
      </c>
      <c r="G271" s="4">
        <v>1993</v>
      </c>
      <c r="I271" s="5">
        <v>3.14</v>
      </c>
      <c r="J271" s="3">
        <v>3418</v>
      </c>
      <c r="K271" s="3">
        <f t="shared" si="20"/>
        <v>1088.5350318471337</v>
      </c>
      <c r="L271" s="3">
        <v>240</v>
      </c>
      <c r="M271" s="5">
        <v>16.100000000000001</v>
      </c>
      <c r="N271" s="5">
        <f t="shared" si="21"/>
        <v>5.1273885350318471</v>
      </c>
      <c r="O271" s="5">
        <f t="shared" si="22"/>
        <v>9.4207138677589253</v>
      </c>
      <c r="P271" s="8">
        <v>38280</v>
      </c>
      <c r="Q271" s="6">
        <v>24.2</v>
      </c>
      <c r="R271" s="5">
        <v>3.38</v>
      </c>
      <c r="S271" s="6">
        <v>6.7</v>
      </c>
      <c r="T271" s="3"/>
    </row>
    <row r="272" spans="1:20" s="4" customFormat="1" ht="15" customHeight="1" x14ac:dyDescent="0.2">
      <c r="A272" s="4">
        <v>2005</v>
      </c>
      <c r="B272" s="4" t="s">
        <v>91</v>
      </c>
      <c r="C272" s="4">
        <v>2</v>
      </c>
      <c r="D272" s="4">
        <v>9</v>
      </c>
      <c r="E272" s="4" t="s">
        <v>70</v>
      </c>
      <c r="F272" s="4">
        <v>509</v>
      </c>
      <c r="G272" s="4">
        <v>1998</v>
      </c>
      <c r="H272" s="4" t="s">
        <v>14</v>
      </c>
      <c r="I272" s="5">
        <v>0.91</v>
      </c>
      <c r="J272" s="3">
        <v>1257</v>
      </c>
      <c r="K272" s="3">
        <f t="shared" si="20"/>
        <v>1381.3186813186812</v>
      </c>
      <c r="L272" s="3" t="s">
        <v>15</v>
      </c>
      <c r="M272" s="5">
        <v>1.4</v>
      </c>
      <c r="N272" s="5">
        <f t="shared" si="21"/>
        <v>1.5384615384615383</v>
      </c>
      <c r="O272" s="5">
        <f t="shared" si="22"/>
        <v>2.2275258552108195</v>
      </c>
      <c r="P272" s="8">
        <v>38645</v>
      </c>
      <c r="Q272" s="6">
        <v>24.8</v>
      </c>
      <c r="R272" s="5">
        <v>3.4</v>
      </c>
      <c r="S272" s="6">
        <v>7.4</v>
      </c>
      <c r="T272" s="3"/>
    </row>
    <row r="273" spans="1:20" s="4" customFormat="1" ht="15" customHeight="1" x14ac:dyDescent="0.2">
      <c r="A273" s="4">
        <v>2006</v>
      </c>
      <c r="B273" s="4" t="s">
        <v>91</v>
      </c>
      <c r="C273" s="4">
        <v>2</v>
      </c>
      <c r="D273" s="4">
        <v>9</v>
      </c>
      <c r="E273" s="4" t="s">
        <v>70</v>
      </c>
      <c r="F273" s="4">
        <v>509</v>
      </c>
      <c r="G273" s="4">
        <v>1998</v>
      </c>
      <c r="H273" s="4" t="s">
        <v>14</v>
      </c>
      <c r="I273" s="5">
        <v>0.91</v>
      </c>
      <c r="J273" s="3">
        <v>1257</v>
      </c>
      <c r="K273" s="3">
        <f t="shared" si="20"/>
        <v>1381.3186813186812</v>
      </c>
      <c r="L273" s="3"/>
      <c r="M273" s="5">
        <v>7.7</v>
      </c>
      <c r="N273" s="5">
        <f t="shared" si="21"/>
        <v>8.4615384615384617</v>
      </c>
      <c r="O273" s="5">
        <f t="shared" si="22"/>
        <v>12.251392203659506</v>
      </c>
      <c r="P273" s="8">
        <v>39022</v>
      </c>
      <c r="Q273" s="6"/>
      <c r="R273" s="5"/>
      <c r="S273" s="6"/>
      <c r="T273" s="3"/>
    </row>
    <row r="274" spans="1:20" s="4" customFormat="1" ht="15" customHeight="1" x14ac:dyDescent="0.2">
      <c r="A274" s="4">
        <v>2007</v>
      </c>
      <c r="B274" s="4" t="s">
        <v>91</v>
      </c>
      <c r="C274" s="4">
        <v>2</v>
      </c>
      <c r="D274" s="4">
        <v>9</v>
      </c>
      <c r="E274" s="4" t="s">
        <v>70</v>
      </c>
      <c r="F274" s="4">
        <v>509</v>
      </c>
      <c r="G274" s="4">
        <v>1998</v>
      </c>
      <c r="H274" s="4" t="s">
        <v>14</v>
      </c>
      <c r="I274" s="5">
        <v>0.91</v>
      </c>
      <c r="J274" s="3">
        <v>1257</v>
      </c>
      <c r="K274" s="3">
        <f t="shared" si="20"/>
        <v>1381.3186813186812</v>
      </c>
      <c r="L274" s="3">
        <v>130</v>
      </c>
      <c r="M274" s="5">
        <v>4.2</v>
      </c>
      <c r="N274" s="5">
        <f t="shared" si="21"/>
        <v>4.6153846153846159</v>
      </c>
      <c r="O274" s="5">
        <f t="shared" si="22"/>
        <v>6.6825775656324584</v>
      </c>
      <c r="P274" s="8">
        <v>39371</v>
      </c>
      <c r="Q274" s="6">
        <v>22.4</v>
      </c>
      <c r="R274" s="5">
        <v>3.15</v>
      </c>
      <c r="S274" s="6">
        <v>11.1</v>
      </c>
      <c r="T274" s="3"/>
    </row>
    <row r="275" spans="1:20" s="4" customFormat="1" ht="15" customHeight="1" x14ac:dyDescent="0.2">
      <c r="A275" s="4">
        <v>2012</v>
      </c>
      <c r="B275" s="4" t="s">
        <v>91</v>
      </c>
      <c r="C275" s="4" t="s">
        <v>134</v>
      </c>
      <c r="E275" s="4" t="s">
        <v>70</v>
      </c>
      <c r="F275" s="4">
        <v>284</v>
      </c>
      <c r="G275" s="1"/>
      <c r="H275" s="1"/>
      <c r="I275" s="5">
        <v>10</v>
      </c>
      <c r="K275" s="3"/>
      <c r="L275" s="3"/>
      <c r="M275" s="5">
        <v>14.494999999999999</v>
      </c>
      <c r="N275" s="5">
        <f>SUM(M275/I275)</f>
        <v>1.4495</v>
      </c>
      <c r="O275" s="5"/>
      <c r="Q275" s="6"/>
      <c r="R275" s="5"/>
      <c r="S275" s="6"/>
      <c r="T275" s="3"/>
    </row>
    <row r="276" spans="1:20" s="4" customFormat="1" ht="15" customHeight="1" x14ac:dyDescent="0.2">
      <c r="A276" s="4">
        <v>2008</v>
      </c>
      <c r="B276" s="4" t="s">
        <v>120</v>
      </c>
      <c r="C276" s="4" t="s">
        <v>134</v>
      </c>
      <c r="E276" s="4" t="s">
        <v>78</v>
      </c>
      <c r="G276" s="1"/>
      <c r="H276" s="1"/>
      <c r="I276" s="5">
        <v>4</v>
      </c>
      <c r="K276" s="3"/>
      <c r="L276" s="3">
        <v>152.5</v>
      </c>
      <c r="M276" s="5">
        <v>10.7</v>
      </c>
      <c r="N276" s="5">
        <f>(M276/I276)</f>
        <v>2.6749999999999998</v>
      </c>
      <c r="O276" s="5"/>
      <c r="P276" s="8">
        <v>39741</v>
      </c>
      <c r="Q276" s="6">
        <v>21</v>
      </c>
      <c r="R276" s="5">
        <v>3.72</v>
      </c>
      <c r="S276" s="6">
        <v>6.53</v>
      </c>
      <c r="T276" s="3"/>
    </row>
    <row r="277" spans="1:20" s="4" customFormat="1" ht="15" customHeight="1" x14ac:dyDescent="0.2">
      <c r="A277" s="4">
        <v>2009</v>
      </c>
      <c r="B277" s="4" t="s">
        <v>120</v>
      </c>
      <c r="C277" s="4" t="s">
        <v>134</v>
      </c>
      <c r="E277" s="4" t="s">
        <v>78</v>
      </c>
      <c r="G277" s="1"/>
      <c r="H277" s="1"/>
      <c r="I277" s="5">
        <v>4</v>
      </c>
      <c r="K277" s="3"/>
      <c r="L277" s="3">
        <v>240</v>
      </c>
      <c r="M277" s="5">
        <v>7.5</v>
      </c>
      <c r="N277" s="5">
        <f>(M277/I277)</f>
        <v>1.875</v>
      </c>
      <c r="O277" s="5"/>
      <c r="P277" s="8">
        <v>40093</v>
      </c>
      <c r="Q277" s="6">
        <v>21.6</v>
      </c>
      <c r="R277" s="5">
        <v>3.96</v>
      </c>
      <c r="S277" s="6">
        <v>4</v>
      </c>
      <c r="T277" s="3"/>
    </row>
    <row r="278" spans="1:20" s="4" customFormat="1" ht="15" customHeight="1" x14ac:dyDescent="0.2">
      <c r="A278" s="4">
        <v>2010</v>
      </c>
      <c r="B278" s="4" t="s">
        <v>120</v>
      </c>
      <c r="C278" s="4" t="s">
        <v>134</v>
      </c>
      <c r="E278" s="4" t="s">
        <v>78</v>
      </c>
      <c r="G278" s="1"/>
      <c r="H278" s="1"/>
      <c r="I278" s="5">
        <v>4</v>
      </c>
      <c r="K278" s="3"/>
      <c r="L278" s="3">
        <v>145</v>
      </c>
      <c r="M278" s="5">
        <v>4.2</v>
      </c>
      <c r="N278" s="5">
        <f>(M278/I278)</f>
        <v>1.05</v>
      </c>
      <c r="O278" s="5"/>
      <c r="P278" s="8">
        <v>40467</v>
      </c>
      <c r="Q278" s="6">
        <v>23.8</v>
      </c>
      <c r="R278" s="5">
        <v>3.46</v>
      </c>
      <c r="S278" s="6">
        <v>7.9</v>
      </c>
      <c r="T278" s="3"/>
    </row>
    <row r="279" spans="1:20" s="4" customFormat="1" ht="15" customHeight="1" x14ac:dyDescent="0.2">
      <c r="A279" s="4">
        <v>2011</v>
      </c>
      <c r="B279" s="4" t="s">
        <v>120</v>
      </c>
      <c r="C279" s="4" t="s">
        <v>134</v>
      </c>
      <c r="E279" s="4" t="s">
        <v>78</v>
      </c>
      <c r="G279" s="1"/>
      <c r="H279" s="1"/>
      <c r="I279" s="5">
        <v>4</v>
      </c>
      <c r="K279" s="3"/>
      <c r="L279" s="3">
        <v>145</v>
      </c>
      <c r="M279" s="5">
        <v>5.84</v>
      </c>
      <c r="N279" s="5">
        <f>(M279/I279)</f>
        <v>1.46</v>
      </c>
      <c r="O279" s="5"/>
      <c r="P279" s="8">
        <v>40842</v>
      </c>
      <c r="Q279" s="6">
        <v>22.5</v>
      </c>
      <c r="R279" s="5">
        <v>3.63</v>
      </c>
      <c r="S279" s="6">
        <v>5.4</v>
      </c>
      <c r="T279" s="3"/>
    </row>
    <row r="280" spans="1:20" s="4" customFormat="1" ht="15" customHeight="1" x14ac:dyDescent="0.2">
      <c r="A280" s="4">
        <v>2012</v>
      </c>
      <c r="B280" s="4" t="s">
        <v>120</v>
      </c>
      <c r="C280" s="4" t="s">
        <v>134</v>
      </c>
      <c r="E280" s="4" t="s">
        <v>78</v>
      </c>
      <c r="G280" s="1"/>
      <c r="H280" s="1"/>
      <c r="I280" s="5">
        <v>4</v>
      </c>
      <c r="K280" s="3"/>
      <c r="L280" s="3">
        <v>125</v>
      </c>
      <c r="M280" s="5">
        <v>5.89</v>
      </c>
      <c r="N280" s="5">
        <f>(M280/I280)</f>
        <v>1.4724999999999999</v>
      </c>
      <c r="O280" s="5"/>
      <c r="P280" s="8">
        <v>41193</v>
      </c>
      <c r="Q280" s="6">
        <v>21.25</v>
      </c>
      <c r="R280" s="5">
        <v>3.64</v>
      </c>
      <c r="S280" s="6">
        <v>5.43</v>
      </c>
      <c r="T280" s="3"/>
    </row>
    <row r="281" spans="1:20" s="4" customFormat="1" ht="15" customHeight="1" x14ac:dyDescent="0.2">
      <c r="A281" s="4">
        <v>2010</v>
      </c>
      <c r="B281" s="4" t="s">
        <v>127</v>
      </c>
      <c r="C281" s="4" t="s">
        <v>135</v>
      </c>
      <c r="E281" s="4" t="s">
        <v>78</v>
      </c>
      <c r="I281" s="5"/>
      <c r="K281" s="3"/>
      <c r="L281" s="3">
        <v>113</v>
      </c>
      <c r="M281" s="5">
        <v>5.0999999999999996</v>
      </c>
      <c r="N281" s="5"/>
      <c r="O281" s="5"/>
      <c r="P281" s="8">
        <v>40463</v>
      </c>
      <c r="Q281" s="6">
        <v>22.6</v>
      </c>
      <c r="R281" s="5">
        <v>3.29</v>
      </c>
      <c r="S281" s="6">
        <v>9.3000000000000007</v>
      </c>
      <c r="T281" s="3"/>
    </row>
    <row r="282" spans="1:20" s="4" customFormat="1" ht="15" customHeight="1" x14ac:dyDescent="0.2">
      <c r="A282" s="4">
        <v>2012</v>
      </c>
      <c r="B282" s="4" t="s">
        <v>127</v>
      </c>
      <c r="C282" s="4" t="s">
        <v>135</v>
      </c>
      <c r="E282" s="4" t="s">
        <v>78</v>
      </c>
      <c r="I282" s="5"/>
      <c r="K282" s="3"/>
      <c r="L282" s="3">
        <v>125</v>
      </c>
      <c r="M282" s="5">
        <v>1.94</v>
      </c>
      <c r="N282" s="5"/>
      <c r="O282" s="5"/>
      <c r="P282" s="8">
        <v>41192</v>
      </c>
      <c r="Q282" s="6">
        <v>22</v>
      </c>
      <c r="R282" s="5">
        <v>3.52</v>
      </c>
      <c r="S282" s="6">
        <v>6.2</v>
      </c>
      <c r="T282" s="3"/>
    </row>
    <row r="283" spans="1:20" s="4" customFormat="1" ht="15" customHeight="1" x14ac:dyDescent="0.2">
      <c r="A283" s="4">
        <v>2003</v>
      </c>
      <c r="B283" s="4" t="s">
        <v>121</v>
      </c>
      <c r="C283" s="4" t="s">
        <v>134</v>
      </c>
      <c r="E283" s="4" t="s">
        <v>78</v>
      </c>
      <c r="F283" s="4">
        <v>49</v>
      </c>
      <c r="G283" s="4">
        <v>2001</v>
      </c>
      <c r="H283" s="4" t="s">
        <v>75</v>
      </c>
      <c r="I283" s="5">
        <v>4</v>
      </c>
      <c r="K283" s="3"/>
      <c r="L283" s="3">
        <v>165</v>
      </c>
      <c r="M283" s="5">
        <v>16.2</v>
      </c>
      <c r="N283" s="5">
        <f t="shared" ref="N283:N307" si="23">SUM(M283/I283)</f>
        <v>4.05</v>
      </c>
      <c r="O283" s="5"/>
      <c r="P283" s="8">
        <v>37912</v>
      </c>
      <c r="Q283" s="6">
        <v>23</v>
      </c>
      <c r="R283" s="5">
        <v>3.51</v>
      </c>
      <c r="S283" s="6">
        <v>5.2</v>
      </c>
      <c r="T283" s="3"/>
    </row>
    <row r="284" spans="1:20" s="4" customFormat="1" ht="15" customHeight="1" x14ac:dyDescent="0.2">
      <c r="A284" s="4">
        <v>2004</v>
      </c>
      <c r="B284" s="4" t="s">
        <v>121</v>
      </c>
      <c r="C284" s="4" t="s">
        <v>134</v>
      </c>
      <c r="E284" s="4" t="s">
        <v>78</v>
      </c>
      <c r="F284" s="4">
        <v>49</v>
      </c>
      <c r="G284" s="4">
        <v>2001</v>
      </c>
      <c r="H284" s="4" t="s">
        <v>75</v>
      </c>
      <c r="I284" s="5">
        <v>4</v>
      </c>
      <c r="K284" s="3"/>
      <c r="L284" s="3">
        <v>157</v>
      </c>
      <c r="M284" s="5">
        <v>13.5</v>
      </c>
      <c r="N284" s="5">
        <f t="shared" si="23"/>
        <v>3.375</v>
      </c>
      <c r="O284" s="5"/>
      <c r="P284" s="8">
        <v>38268</v>
      </c>
      <c r="Q284" s="6">
        <v>23.8</v>
      </c>
      <c r="R284" s="5">
        <v>3.52</v>
      </c>
      <c r="S284" s="6">
        <v>7.1</v>
      </c>
      <c r="T284" s="3"/>
    </row>
    <row r="285" spans="1:20" s="4" customFormat="1" ht="15" customHeight="1" x14ac:dyDescent="0.2">
      <c r="A285" s="4">
        <v>2005</v>
      </c>
      <c r="B285" s="4" t="s">
        <v>121</v>
      </c>
      <c r="C285" s="4" t="s">
        <v>134</v>
      </c>
      <c r="E285" s="4" t="s">
        <v>78</v>
      </c>
      <c r="F285" s="4">
        <v>49</v>
      </c>
      <c r="G285" s="4">
        <v>2001</v>
      </c>
      <c r="H285" s="4" t="s">
        <v>75</v>
      </c>
      <c r="I285" s="5">
        <v>4</v>
      </c>
      <c r="K285" s="3"/>
      <c r="L285" s="3">
        <v>130</v>
      </c>
      <c r="M285" s="5">
        <v>9.6</v>
      </c>
      <c r="N285" s="5">
        <f t="shared" si="23"/>
        <v>2.4</v>
      </c>
      <c r="O285" s="5"/>
      <c r="P285" s="8">
        <v>38641</v>
      </c>
      <c r="Q285" s="6">
        <v>24</v>
      </c>
      <c r="R285" s="5">
        <v>3.01</v>
      </c>
      <c r="S285" s="6">
        <v>9.4</v>
      </c>
      <c r="T285" s="3"/>
    </row>
    <row r="286" spans="1:20" s="4" customFormat="1" ht="15" customHeight="1" x14ac:dyDescent="0.2">
      <c r="A286" s="4">
        <v>2006</v>
      </c>
      <c r="B286" s="4" t="s">
        <v>121</v>
      </c>
      <c r="C286" s="4" t="s">
        <v>134</v>
      </c>
      <c r="E286" s="4" t="s">
        <v>78</v>
      </c>
      <c r="F286" s="4">
        <v>49</v>
      </c>
      <c r="G286" s="4">
        <v>2001</v>
      </c>
      <c r="H286" s="4" t="s">
        <v>75</v>
      </c>
      <c r="I286" s="5">
        <v>4</v>
      </c>
      <c r="K286" s="3"/>
      <c r="L286" s="3">
        <v>132</v>
      </c>
      <c r="M286" s="5">
        <v>11.1</v>
      </c>
      <c r="N286" s="5">
        <f t="shared" si="23"/>
        <v>2.7749999999999999</v>
      </c>
      <c r="O286" s="5"/>
      <c r="P286" s="8">
        <v>38997</v>
      </c>
      <c r="Q286" s="6">
        <v>23.8</v>
      </c>
      <c r="R286" s="5">
        <v>3.62</v>
      </c>
      <c r="S286" s="6">
        <v>6.1</v>
      </c>
      <c r="T286" s="3"/>
    </row>
    <row r="287" spans="1:20" s="4" customFormat="1" ht="15" customHeight="1" x14ac:dyDescent="0.2">
      <c r="A287" s="4">
        <v>2007</v>
      </c>
      <c r="B287" s="4" t="s">
        <v>121</v>
      </c>
      <c r="C287" s="4" t="s">
        <v>134</v>
      </c>
      <c r="E287" s="4" t="s">
        <v>78</v>
      </c>
      <c r="F287" s="4">
        <v>49</v>
      </c>
      <c r="G287" s="4">
        <v>2001</v>
      </c>
      <c r="H287" s="4" t="s">
        <v>75</v>
      </c>
      <c r="I287" s="5">
        <v>4</v>
      </c>
      <c r="K287" s="3"/>
      <c r="L287" s="3">
        <v>163</v>
      </c>
      <c r="M287" s="5">
        <v>15.8</v>
      </c>
      <c r="N287" s="5">
        <f t="shared" si="23"/>
        <v>3.95</v>
      </c>
      <c r="O287" s="5"/>
      <c r="P287" s="8">
        <v>39375</v>
      </c>
      <c r="Q287" s="6">
        <v>22.6</v>
      </c>
      <c r="R287" s="5">
        <v>3.51</v>
      </c>
      <c r="S287" s="6">
        <v>8.6</v>
      </c>
      <c r="T287" s="3"/>
    </row>
    <row r="288" spans="1:20" s="4" customFormat="1" ht="15" customHeight="1" x14ac:dyDescent="0.2">
      <c r="A288" s="4">
        <v>2008</v>
      </c>
      <c r="B288" s="4" t="s">
        <v>121</v>
      </c>
      <c r="C288" s="4" t="s">
        <v>134</v>
      </c>
      <c r="E288" s="4" t="s">
        <v>78</v>
      </c>
      <c r="F288" s="4">
        <v>49</v>
      </c>
      <c r="G288" s="4">
        <v>2001</v>
      </c>
      <c r="H288" s="4" t="s">
        <v>75</v>
      </c>
      <c r="I288" s="5">
        <v>4</v>
      </c>
      <c r="K288" s="3"/>
      <c r="L288" s="3">
        <v>145</v>
      </c>
      <c r="M288" s="5">
        <v>17</v>
      </c>
      <c r="N288" s="5">
        <f t="shared" si="23"/>
        <v>4.25</v>
      </c>
      <c r="O288" s="5"/>
      <c r="P288" s="8">
        <v>39733</v>
      </c>
      <c r="Q288" s="6">
        <v>21.8</v>
      </c>
      <c r="R288" s="5">
        <v>3.39</v>
      </c>
      <c r="S288" s="6">
        <v>3.33</v>
      </c>
      <c r="T288" s="3"/>
    </row>
    <row r="289" spans="1:20" s="4" customFormat="1" ht="15" customHeight="1" x14ac:dyDescent="0.2">
      <c r="A289" s="4">
        <v>2009</v>
      </c>
      <c r="B289" s="4" t="s">
        <v>121</v>
      </c>
      <c r="C289" s="4" t="s">
        <v>134</v>
      </c>
      <c r="E289" s="4" t="s">
        <v>78</v>
      </c>
      <c r="F289" s="4">
        <v>49</v>
      </c>
      <c r="G289" s="4">
        <v>2001</v>
      </c>
      <c r="H289" s="4" t="s">
        <v>75</v>
      </c>
      <c r="I289" s="5">
        <v>4</v>
      </c>
      <c r="K289" s="3"/>
      <c r="L289" s="3">
        <v>252</v>
      </c>
      <c r="M289" s="5">
        <v>21</v>
      </c>
      <c r="N289" s="5">
        <f t="shared" si="23"/>
        <v>5.25</v>
      </c>
      <c r="O289" s="5"/>
      <c r="P289" s="8">
        <v>40095</v>
      </c>
      <c r="Q289" s="6">
        <v>22.6</v>
      </c>
      <c r="R289" s="5">
        <v>3.49</v>
      </c>
      <c r="S289" s="6">
        <v>7.2</v>
      </c>
      <c r="T289" s="3"/>
    </row>
    <row r="290" spans="1:20" s="4" customFormat="1" ht="15" customHeight="1" x14ac:dyDescent="0.2">
      <c r="A290" s="4">
        <v>2010</v>
      </c>
      <c r="B290" s="4" t="s">
        <v>121</v>
      </c>
      <c r="C290" s="4" t="s">
        <v>134</v>
      </c>
      <c r="E290" s="4" t="s">
        <v>78</v>
      </c>
      <c r="F290" s="4">
        <v>49</v>
      </c>
      <c r="G290" s="4">
        <v>2001</v>
      </c>
      <c r="H290" s="4" t="s">
        <v>75</v>
      </c>
      <c r="I290" s="5">
        <v>4</v>
      </c>
      <c r="K290" s="3"/>
      <c r="L290" s="3">
        <v>140</v>
      </c>
      <c r="M290" s="5">
        <v>11.6</v>
      </c>
      <c r="N290" s="5">
        <f t="shared" si="23"/>
        <v>2.9</v>
      </c>
      <c r="O290" s="5"/>
      <c r="P290" s="8">
        <v>40467</v>
      </c>
      <c r="Q290" s="6">
        <v>23.8</v>
      </c>
      <c r="R290" s="5">
        <v>3.38</v>
      </c>
      <c r="S290" s="6">
        <v>8</v>
      </c>
      <c r="T290" s="3"/>
    </row>
    <row r="291" spans="1:20" s="4" customFormat="1" ht="15" customHeight="1" x14ac:dyDescent="0.2">
      <c r="A291" s="4">
        <v>2011</v>
      </c>
      <c r="B291" s="4" t="s">
        <v>121</v>
      </c>
      <c r="C291" s="4" t="s">
        <v>134</v>
      </c>
      <c r="E291" s="4" t="s">
        <v>78</v>
      </c>
      <c r="F291" s="4">
        <v>49</v>
      </c>
      <c r="G291" s="4">
        <v>2001</v>
      </c>
      <c r="H291" s="4" t="s">
        <v>75</v>
      </c>
      <c r="I291" s="5">
        <v>4</v>
      </c>
      <c r="K291" s="3"/>
      <c r="L291" s="3">
        <v>118</v>
      </c>
      <c r="M291" s="5">
        <v>6.76</v>
      </c>
      <c r="N291" s="5">
        <f t="shared" si="23"/>
        <v>1.69</v>
      </c>
      <c r="O291" s="5"/>
      <c r="P291" s="8">
        <v>40845</v>
      </c>
      <c r="Q291" s="6">
        <v>22</v>
      </c>
      <c r="R291" s="5">
        <v>3.32</v>
      </c>
      <c r="S291" s="6">
        <v>7.7</v>
      </c>
      <c r="T291" s="3"/>
    </row>
    <row r="292" spans="1:20" s="4" customFormat="1" ht="15" customHeight="1" x14ac:dyDescent="0.2">
      <c r="A292" s="4">
        <v>2012</v>
      </c>
      <c r="B292" s="4" t="s">
        <v>121</v>
      </c>
      <c r="C292" s="4" t="s">
        <v>134</v>
      </c>
      <c r="E292" s="4" t="s">
        <v>78</v>
      </c>
      <c r="F292" s="4">
        <v>49</v>
      </c>
      <c r="G292" s="4">
        <v>2001</v>
      </c>
      <c r="H292" s="4" t="s">
        <v>75</v>
      </c>
      <c r="I292" s="5">
        <v>4</v>
      </c>
      <c r="K292" s="3"/>
      <c r="L292" s="3"/>
      <c r="M292" s="5">
        <v>10.92</v>
      </c>
      <c r="N292" s="5">
        <f t="shared" si="23"/>
        <v>2.73</v>
      </c>
      <c r="O292" s="5"/>
      <c r="P292" s="8">
        <v>41196</v>
      </c>
      <c r="Q292" s="6">
        <f>(22.2)</f>
        <v>22.2</v>
      </c>
      <c r="R292" s="5">
        <f>(3.55+3.65)/2</f>
        <v>3.5999999999999996</v>
      </c>
      <c r="S292" s="6">
        <f>(7.91+7.98)/2</f>
        <v>7.9450000000000003</v>
      </c>
      <c r="T292" s="3"/>
    </row>
    <row r="293" spans="1:20" s="4" customFormat="1" ht="15" customHeight="1" x14ac:dyDescent="0.2">
      <c r="A293" s="4">
        <v>2008</v>
      </c>
      <c r="B293" s="4" t="s">
        <v>97</v>
      </c>
      <c r="C293" s="4">
        <v>2</v>
      </c>
      <c r="D293" s="4">
        <v>3</v>
      </c>
      <c r="E293" s="4" t="s">
        <v>78</v>
      </c>
      <c r="F293" s="4">
        <v>47</v>
      </c>
      <c r="G293" s="4">
        <v>2006</v>
      </c>
      <c r="H293" s="4" t="s">
        <v>34</v>
      </c>
      <c r="I293" s="5">
        <v>0.57999999999999996</v>
      </c>
      <c r="J293" s="4">
        <v>1040</v>
      </c>
      <c r="K293" s="3">
        <v>1793</v>
      </c>
      <c r="L293" s="3">
        <v>220</v>
      </c>
      <c r="M293" s="5">
        <v>2</v>
      </c>
      <c r="N293" s="5">
        <f t="shared" si="23"/>
        <v>3.4482758620689657</v>
      </c>
      <c r="O293" s="5">
        <f t="shared" ref="O293:O307" si="24">SUM(M293*2000)/J293</f>
        <v>3.8461538461538463</v>
      </c>
      <c r="P293" s="8">
        <v>39737</v>
      </c>
      <c r="Q293" s="6">
        <v>21</v>
      </c>
      <c r="R293" s="5">
        <v>3.65</v>
      </c>
      <c r="S293" s="6">
        <v>6.45</v>
      </c>
      <c r="T293" s="3"/>
    </row>
    <row r="294" spans="1:20" s="4" customFormat="1" ht="15" customHeight="1" x14ac:dyDescent="0.2">
      <c r="A294" s="4">
        <v>2009</v>
      </c>
      <c r="B294" s="4" t="s">
        <v>97</v>
      </c>
      <c r="C294" s="4">
        <v>2</v>
      </c>
      <c r="D294" s="4">
        <v>3</v>
      </c>
      <c r="E294" s="4" t="s">
        <v>78</v>
      </c>
      <c r="F294" s="4">
        <v>47</v>
      </c>
      <c r="G294" s="4">
        <v>2006</v>
      </c>
      <c r="H294" s="4" t="s">
        <v>34</v>
      </c>
      <c r="I294" s="5">
        <v>0.57999999999999996</v>
      </c>
      <c r="J294" s="4">
        <v>1040</v>
      </c>
      <c r="K294" s="3">
        <v>1793</v>
      </c>
      <c r="L294" s="3">
        <v>135</v>
      </c>
      <c r="M294" s="5">
        <v>1.5</v>
      </c>
      <c r="N294" s="5">
        <f t="shared" si="23"/>
        <v>2.5862068965517242</v>
      </c>
      <c r="O294" s="5">
        <f t="shared" si="24"/>
        <v>2.8846153846153846</v>
      </c>
      <c r="P294" s="8">
        <v>40092</v>
      </c>
      <c r="Q294" s="6">
        <v>23</v>
      </c>
      <c r="R294" s="5">
        <v>3.75</v>
      </c>
      <c r="S294" s="6">
        <v>5.5</v>
      </c>
      <c r="T294" s="3"/>
    </row>
    <row r="295" spans="1:20" s="4" customFormat="1" ht="15" customHeight="1" x14ac:dyDescent="0.2">
      <c r="A295" s="4">
        <v>2010</v>
      </c>
      <c r="B295" s="4" t="s">
        <v>97</v>
      </c>
      <c r="C295" s="4">
        <v>2</v>
      </c>
      <c r="D295" s="4">
        <v>3</v>
      </c>
      <c r="E295" s="4" t="s">
        <v>78</v>
      </c>
      <c r="F295" s="4">
        <v>47</v>
      </c>
      <c r="G295" s="4">
        <v>2006</v>
      </c>
      <c r="H295" s="4" t="s">
        <v>34</v>
      </c>
      <c r="I295" s="5">
        <v>0.57999999999999996</v>
      </c>
      <c r="J295" s="4">
        <v>1040</v>
      </c>
      <c r="K295" s="3">
        <v>1793</v>
      </c>
      <c r="L295" s="3">
        <v>245</v>
      </c>
      <c r="M295" s="5">
        <v>3</v>
      </c>
      <c r="N295" s="5">
        <f t="shared" si="23"/>
        <v>5.1724137931034484</v>
      </c>
      <c r="O295" s="5">
        <f t="shared" si="24"/>
        <v>5.7692307692307692</v>
      </c>
      <c r="P295" s="8">
        <v>40470</v>
      </c>
      <c r="Q295" s="6">
        <v>24</v>
      </c>
      <c r="R295" s="5">
        <v>3.31</v>
      </c>
      <c r="S295" s="6">
        <v>8.5</v>
      </c>
      <c r="T295" s="3"/>
    </row>
    <row r="296" spans="1:20" s="4" customFormat="1" ht="15" customHeight="1" x14ac:dyDescent="0.2">
      <c r="A296" s="4">
        <v>2011</v>
      </c>
      <c r="B296" s="4" t="s">
        <v>97</v>
      </c>
      <c r="C296" s="4">
        <v>2</v>
      </c>
      <c r="D296" s="4">
        <v>3</v>
      </c>
      <c r="E296" s="4" t="s">
        <v>78</v>
      </c>
      <c r="F296" s="4">
        <v>47</v>
      </c>
      <c r="G296" s="4">
        <v>2006</v>
      </c>
      <c r="H296" s="4" t="s">
        <v>34</v>
      </c>
      <c r="I296" s="5">
        <v>0.57999999999999996</v>
      </c>
      <c r="J296" s="4">
        <v>1040</v>
      </c>
      <c r="K296" s="3">
        <v>1793</v>
      </c>
      <c r="L296" s="3">
        <v>230</v>
      </c>
      <c r="M296" s="5">
        <v>0.66</v>
      </c>
      <c r="N296" s="5">
        <f t="shared" si="23"/>
        <v>1.1379310344827587</v>
      </c>
      <c r="O296" s="5">
        <f t="shared" si="24"/>
        <v>1.2692307692307692</v>
      </c>
      <c r="P296" s="8">
        <v>40841</v>
      </c>
      <c r="Q296" s="6"/>
      <c r="R296" s="5"/>
      <c r="S296" s="6"/>
      <c r="T296" s="3"/>
    </row>
    <row r="297" spans="1:20" s="4" customFormat="1" ht="15" customHeight="1" x14ac:dyDescent="0.2">
      <c r="A297" s="4">
        <v>2012</v>
      </c>
      <c r="B297" s="4" t="s">
        <v>97</v>
      </c>
      <c r="C297" s="4">
        <v>2</v>
      </c>
      <c r="D297" s="4">
        <v>3</v>
      </c>
      <c r="E297" s="4" t="s">
        <v>78</v>
      </c>
      <c r="F297" s="4">
        <v>47</v>
      </c>
      <c r="G297" s="4">
        <v>2006</v>
      </c>
      <c r="H297" s="4" t="s">
        <v>34</v>
      </c>
      <c r="I297" s="5">
        <v>0.57999999999999996</v>
      </c>
      <c r="J297" s="4">
        <v>1040</v>
      </c>
      <c r="K297" s="3">
        <v>1793</v>
      </c>
      <c r="L297" s="3">
        <v>140</v>
      </c>
      <c r="M297" s="5">
        <v>3.28</v>
      </c>
      <c r="N297" s="5">
        <f t="shared" si="23"/>
        <v>5.6551724137931032</v>
      </c>
      <c r="O297" s="5">
        <f t="shared" si="24"/>
        <v>6.3076923076923075</v>
      </c>
      <c r="P297" s="8">
        <v>41187</v>
      </c>
      <c r="Q297" s="6">
        <f>(23.2+22.2)/2</f>
        <v>22.7</v>
      </c>
      <c r="R297" s="5">
        <f>(3.24+3.36)/2</f>
        <v>3.3</v>
      </c>
      <c r="S297" s="6">
        <f>(6.5+6.2)/2</f>
        <v>6.35</v>
      </c>
      <c r="T297" s="3"/>
    </row>
    <row r="298" spans="1:20" s="4" customFormat="1" ht="15" customHeight="1" x14ac:dyDescent="0.2">
      <c r="A298" s="4">
        <v>2000</v>
      </c>
      <c r="B298" s="4" t="s">
        <v>116</v>
      </c>
      <c r="C298" s="4">
        <v>1</v>
      </c>
      <c r="D298" s="4">
        <v>1</v>
      </c>
      <c r="E298" s="4" t="s">
        <v>78</v>
      </c>
      <c r="F298" s="4">
        <v>47</v>
      </c>
      <c r="G298" s="4">
        <v>1998</v>
      </c>
      <c r="H298" s="4" t="s">
        <v>62</v>
      </c>
      <c r="I298" s="5">
        <v>3.1</v>
      </c>
      <c r="J298" s="4">
        <v>4221</v>
      </c>
      <c r="K298" s="3">
        <f t="shared" ref="K298:K307" si="25">SUM(J298/I298)</f>
        <v>1361.6129032258063</v>
      </c>
      <c r="L298" s="3"/>
      <c r="M298" s="5">
        <v>2.7650000000000001</v>
      </c>
      <c r="N298" s="5">
        <f t="shared" si="23"/>
        <v>0.89193548387096777</v>
      </c>
      <c r="O298" s="5">
        <f t="shared" si="24"/>
        <v>1.3101160862354893</v>
      </c>
      <c r="P298" s="8">
        <v>37175</v>
      </c>
      <c r="Q298" s="6">
        <v>21.4</v>
      </c>
      <c r="R298" s="5">
        <v>3.31</v>
      </c>
      <c r="S298" s="6">
        <v>8.9</v>
      </c>
      <c r="T298" s="3"/>
    </row>
    <row r="299" spans="1:20" s="4" customFormat="1" ht="15" customHeight="1" x14ac:dyDescent="0.2">
      <c r="A299" s="4">
        <v>2001</v>
      </c>
      <c r="B299" s="4" t="s">
        <v>116</v>
      </c>
      <c r="C299" s="4">
        <v>1</v>
      </c>
      <c r="D299" s="4">
        <v>1</v>
      </c>
      <c r="E299" s="4" t="s">
        <v>78</v>
      </c>
      <c r="F299" s="4">
        <v>47</v>
      </c>
      <c r="G299" s="4">
        <v>1998</v>
      </c>
      <c r="H299" s="4" t="s">
        <v>62</v>
      </c>
      <c r="I299" s="5">
        <v>3.1</v>
      </c>
      <c r="J299" s="4">
        <v>4221</v>
      </c>
      <c r="K299" s="3">
        <f t="shared" si="25"/>
        <v>1361.6129032258063</v>
      </c>
      <c r="L299" s="3"/>
      <c r="M299" s="5">
        <v>14.525499999999999</v>
      </c>
      <c r="N299" s="5">
        <f t="shared" si="23"/>
        <v>4.6856451612903225</v>
      </c>
      <c r="O299" s="5">
        <f t="shared" si="24"/>
        <v>6.8824923004027481</v>
      </c>
      <c r="P299" s="8">
        <v>37187</v>
      </c>
      <c r="Q299" s="6">
        <v>19.2</v>
      </c>
      <c r="R299" s="5">
        <v>3.31</v>
      </c>
      <c r="S299" s="6">
        <v>7.8</v>
      </c>
      <c r="T299" s="3"/>
    </row>
    <row r="300" spans="1:20" s="4" customFormat="1" ht="15" customHeight="1" x14ac:dyDescent="0.2">
      <c r="A300" s="4">
        <v>2002</v>
      </c>
      <c r="B300" s="4" t="s">
        <v>116</v>
      </c>
      <c r="C300" s="4">
        <v>1</v>
      </c>
      <c r="D300" s="4">
        <v>1</v>
      </c>
      <c r="E300" s="4" t="s">
        <v>78</v>
      </c>
      <c r="F300" s="4">
        <v>47</v>
      </c>
      <c r="G300" s="4">
        <v>1998</v>
      </c>
      <c r="H300" s="4" t="s">
        <v>62</v>
      </c>
      <c r="I300" s="5">
        <v>3.1</v>
      </c>
      <c r="J300" s="4">
        <v>4221</v>
      </c>
      <c r="K300" s="3">
        <f t="shared" si="25"/>
        <v>1361.6129032258063</v>
      </c>
      <c r="L300" s="4">
        <v>145</v>
      </c>
      <c r="M300" s="5">
        <v>12.17</v>
      </c>
      <c r="N300" s="5">
        <f t="shared" si="23"/>
        <v>3.9258064516129032</v>
      </c>
      <c r="O300" s="5">
        <f t="shared" si="24"/>
        <v>5.7664060649135278</v>
      </c>
      <c r="P300" s="8">
        <v>37545</v>
      </c>
      <c r="Q300" s="6">
        <v>23</v>
      </c>
      <c r="R300" s="5">
        <v>3.68</v>
      </c>
      <c r="S300" s="6">
        <v>5.7</v>
      </c>
      <c r="T300" s="3"/>
    </row>
    <row r="301" spans="1:20" s="4" customFormat="1" ht="15" customHeight="1" x14ac:dyDescent="0.2">
      <c r="A301" s="4">
        <v>2003</v>
      </c>
      <c r="B301" s="4" t="s">
        <v>116</v>
      </c>
      <c r="C301" s="4">
        <v>1</v>
      </c>
      <c r="D301" s="4">
        <v>1</v>
      </c>
      <c r="E301" s="4" t="s">
        <v>78</v>
      </c>
      <c r="F301" s="4">
        <v>47</v>
      </c>
      <c r="G301" s="4">
        <v>1998</v>
      </c>
      <c r="H301" s="4" t="s">
        <v>62</v>
      </c>
      <c r="I301" s="5">
        <v>3.1</v>
      </c>
      <c r="J301" s="4">
        <v>4221</v>
      </c>
      <c r="K301" s="3">
        <f t="shared" si="25"/>
        <v>1361.6129032258063</v>
      </c>
      <c r="L301" s="4">
        <v>173</v>
      </c>
      <c r="M301" s="5">
        <v>10.5</v>
      </c>
      <c r="N301" s="5">
        <f t="shared" si="23"/>
        <v>3.3870967741935485</v>
      </c>
      <c r="O301" s="5">
        <f t="shared" si="24"/>
        <v>4.9751243781094523</v>
      </c>
      <c r="P301" s="8">
        <v>37910</v>
      </c>
      <c r="Q301" s="6">
        <v>24.4</v>
      </c>
      <c r="R301" s="5">
        <v>3.87</v>
      </c>
      <c r="S301" s="6">
        <v>4</v>
      </c>
      <c r="T301" s="3"/>
    </row>
    <row r="302" spans="1:20" s="4" customFormat="1" ht="15" customHeight="1" x14ac:dyDescent="0.2">
      <c r="A302" s="4">
        <v>2004</v>
      </c>
      <c r="B302" s="4" t="s">
        <v>116</v>
      </c>
      <c r="C302" s="4">
        <v>1</v>
      </c>
      <c r="D302" s="4">
        <v>1</v>
      </c>
      <c r="E302" s="4" t="s">
        <v>78</v>
      </c>
      <c r="F302" s="4">
        <v>47</v>
      </c>
      <c r="G302" s="4">
        <v>1998</v>
      </c>
      <c r="H302" s="4" t="s">
        <v>62</v>
      </c>
      <c r="I302" s="5">
        <v>3.1</v>
      </c>
      <c r="J302" s="4">
        <v>4221</v>
      </c>
      <c r="K302" s="3">
        <f t="shared" si="25"/>
        <v>1361.6129032258063</v>
      </c>
      <c r="L302" s="4">
        <v>115</v>
      </c>
      <c r="M302" s="5">
        <v>9.1</v>
      </c>
      <c r="N302" s="5">
        <f t="shared" si="23"/>
        <v>2.9354838709677415</v>
      </c>
      <c r="O302" s="5">
        <f t="shared" si="24"/>
        <v>4.3117744610281923</v>
      </c>
      <c r="P302" s="8">
        <v>38279</v>
      </c>
      <c r="Q302" s="6">
        <v>25</v>
      </c>
      <c r="R302" s="5">
        <v>3.87</v>
      </c>
      <c r="S302" s="6">
        <v>5.3</v>
      </c>
      <c r="T302" s="3"/>
    </row>
    <row r="303" spans="1:20" s="4" customFormat="1" ht="15" customHeight="1" x14ac:dyDescent="0.2">
      <c r="A303" s="4">
        <v>2005</v>
      </c>
      <c r="B303" s="4" t="s">
        <v>116</v>
      </c>
      <c r="C303" s="4">
        <v>1</v>
      </c>
      <c r="D303" s="4">
        <v>1</v>
      </c>
      <c r="E303" s="4" t="s">
        <v>78</v>
      </c>
      <c r="F303" s="4">
        <v>47</v>
      </c>
      <c r="G303" s="4">
        <v>1998</v>
      </c>
      <c r="H303" s="4" t="s">
        <v>62</v>
      </c>
      <c r="I303" s="5">
        <v>3.1</v>
      </c>
      <c r="J303" s="4">
        <v>4221</v>
      </c>
      <c r="K303" s="3">
        <f t="shared" si="25"/>
        <v>1361.6129032258063</v>
      </c>
      <c r="L303" s="4">
        <v>158</v>
      </c>
      <c r="M303" s="5">
        <v>3.6</v>
      </c>
      <c r="N303" s="5">
        <f t="shared" si="23"/>
        <v>1.1612903225806452</v>
      </c>
      <c r="O303" s="5">
        <f t="shared" si="24"/>
        <v>1.7057569296375266</v>
      </c>
      <c r="P303" s="8">
        <v>38640</v>
      </c>
      <c r="Q303" s="6">
        <v>24.6</v>
      </c>
      <c r="R303" s="5">
        <v>3.31</v>
      </c>
      <c r="S303" s="6">
        <v>6.6</v>
      </c>
      <c r="T303" s="3"/>
    </row>
    <row r="304" spans="1:20" s="4" customFormat="1" ht="15" customHeight="1" x14ac:dyDescent="0.2">
      <c r="A304" s="4">
        <v>2006</v>
      </c>
      <c r="B304" s="4" t="s">
        <v>116</v>
      </c>
      <c r="C304" s="4">
        <v>1</v>
      </c>
      <c r="D304" s="4">
        <v>1</v>
      </c>
      <c r="E304" s="4" t="s">
        <v>78</v>
      </c>
      <c r="F304" s="4">
        <v>47</v>
      </c>
      <c r="G304" s="4">
        <v>1998</v>
      </c>
      <c r="H304" s="4" t="s">
        <v>62</v>
      </c>
      <c r="I304" s="5">
        <v>3.1</v>
      </c>
      <c r="J304" s="4">
        <v>4221</v>
      </c>
      <c r="K304" s="3">
        <f t="shared" si="25"/>
        <v>1361.6129032258063</v>
      </c>
      <c r="L304" s="4">
        <v>135</v>
      </c>
      <c r="M304" s="5">
        <v>18.899999999999999</v>
      </c>
      <c r="N304" s="5">
        <f t="shared" si="23"/>
        <v>6.0967741935483861</v>
      </c>
      <c r="O304" s="5">
        <f t="shared" si="24"/>
        <v>8.9552238805970141</v>
      </c>
      <c r="P304" s="8">
        <v>39008</v>
      </c>
      <c r="Q304" s="6">
        <v>22.2</v>
      </c>
      <c r="R304" s="5">
        <v>3.61</v>
      </c>
      <c r="S304" s="6">
        <v>5.3</v>
      </c>
      <c r="T304" s="3"/>
    </row>
    <row r="305" spans="1:20" s="4" customFormat="1" ht="15" customHeight="1" x14ac:dyDescent="0.2">
      <c r="A305" s="4">
        <v>2007</v>
      </c>
      <c r="B305" s="4" t="s">
        <v>116</v>
      </c>
      <c r="C305" s="4">
        <v>1</v>
      </c>
      <c r="D305" s="4">
        <v>1</v>
      </c>
      <c r="E305" s="4" t="s">
        <v>78</v>
      </c>
      <c r="F305" s="4">
        <v>47</v>
      </c>
      <c r="G305" s="4">
        <v>1998</v>
      </c>
      <c r="H305" s="4" t="s">
        <v>62</v>
      </c>
      <c r="I305" s="5">
        <v>3.1</v>
      </c>
      <c r="J305" s="4">
        <v>4221</v>
      </c>
      <c r="K305" s="3">
        <f t="shared" si="25"/>
        <v>1361.6129032258063</v>
      </c>
      <c r="L305" s="6">
        <v>142.5</v>
      </c>
      <c r="M305" s="5">
        <v>2.2000000000000002</v>
      </c>
      <c r="N305" s="5">
        <f t="shared" si="23"/>
        <v>0.70967741935483875</v>
      </c>
      <c r="O305" s="5">
        <f t="shared" si="24"/>
        <v>1.0424070125562663</v>
      </c>
      <c r="P305" s="8">
        <v>39367</v>
      </c>
      <c r="Q305" s="6">
        <v>22.2</v>
      </c>
      <c r="R305" s="5">
        <v>3.45</v>
      </c>
      <c r="S305" s="6">
        <v>6.9</v>
      </c>
      <c r="T305" s="3"/>
    </row>
    <row r="306" spans="1:20" s="4" customFormat="1" ht="15" customHeight="1" x14ac:dyDescent="0.2">
      <c r="A306" s="4">
        <v>2008</v>
      </c>
      <c r="B306" s="4" t="s">
        <v>116</v>
      </c>
      <c r="C306" s="4">
        <v>1</v>
      </c>
      <c r="D306" s="4">
        <v>1</v>
      </c>
      <c r="E306" s="4" t="s">
        <v>78</v>
      </c>
      <c r="F306" s="4">
        <v>47</v>
      </c>
      <c r="G306" s="4">
        <v>1998</v>
      </c>
      <c r="H306" s="4" t="s">
        <v>62</v>
      </c>
      <c r="I306" s="5">
        <v>3.1</v>
      </c>
      <c r="J306" s="4">
        <v>4221</v>
      </c>
      <c r="K306" s="3">
        <f t="shared" si="25"/>
        <v>1361.6129032258063</v>
      </c>
      <c r="L306" s="6">
        <v>140</v>
      </c>
      <c r="M306" s="5">
        <v>13.7</v>
      </c>
      <c r="N306" s="5">
        <f t="shared" si="23"/>
        <v>4.419354838709677</v>
      </c>
      <c r="O306" s="5">
        <f t="shared" si="24"/>
        <v>6.4913527600094767</v>
      </c>
      <c r="P306" s="8">
        <v>39737</v>
      </c>
      <c r="Q306" s="6">
        <v>21</v>
      </c>
      <c r="R306" s="5">
        <v>3.57</v>
      </c>
      <c r="S306" s="6">
        <v>7.05</v>
      </c>
      <c r="T306" s="3"/>
    </row>
    <row r="307" spans="1:20" s="4" customFormat="1" ht="15" customHeight="1" x14ac:dyDescent="0.2">
      <c r="A307" s="4">
        <v>2009</v>
      </c>
      <c r="B307" s="4" t="s">
        <v>116</v>
      </c>
      <c r="C307" s="4">
        <v>1</v>
      </c>
      <c r="D307" s="4">
        <v>1</v>
      </c>
      <c r="E307" s="4" t="s">
        <v>78</v>
      </c>
      <c r="F307" s="4">
        <v>47</v>
      </c>
      <c r="G307" s="4">
        <v>1998</v>
      </c>
      <c r="H307" s="4" t="s">
        <v>62</v>
      </c>
      <c r="I307" s="5">
        <v>3.1</v>
      </c>
      <c r="J307" s="4">
        <v>4221</v>
      </c>
      <c r="K307" s="3">
        <f t="shared" si="25"/>
        <v>1361.6129032258063</v>
      </c>
      <c r="L307" s="6">
        <v>135</v>
      </c>
      <c r="M307" s="5">
        <v>1.6</v>
      </c>
      <c r="N307" s="5">
        <f t="shared" si="23"/>
        <v>0.5161290322580645</v>
      </c>
      <c r="O307" s="5">
        <f t="shared" si="24"/>
        <v>0.75811419095001187</v>
      </c>
      <c r="P307" s="8">
        <v>40092</v>
      </c>
      <c r="Q307" s="6">
        <v>23</v>
      </c>
      <c r="R307" s="5">
        <v>3.75</v>
      </c>
      <c r="S307" s="6">
        <v>5.5</v>
      </c>
      <c r="T307" s="3"/>
    </row>
    <row r="308" spans="1:20" s="4" customFormat="1" ht="15" customHeight="1" x14ac:dyDescent="0.2">
      <c r="A308" s="4">
        <v>2010</v>
      </c>
      <c r="B308" s="4" t="s">
        <v>122</v>
      </c>
      <c r="C308" s="4">
        <v>1</v>
      </c>
      <c r="D308" s="4" t="s">
        <v>133</v>
      </c>
      <c r="E308" s="4" t="s">
        <v>78</v>
      </c>
      <c r="F308" s="4">
        <v>643</v>
      </c>
      <c r="G308" s="4">
        <v>2008</v>
      </c>
      <c r="H308" s="4" t="s">
        <v>76</v>
      </c>
      <c r="I308" s="5">
        <f>4.87+2.52</f>
        <v>7.3900000000000006</v>
      </c>
      <c r="J308" s="4">
        <f>8342+4208</f>
        <v>12550</v>
      </c>
      <c r="K308" s="3">
        <f>(J308/I308)</f>
        <v>1698.2408660351825</v>
      </c>
      <c r="L308" s="3">
        <v>162</v>
      </c>
      <c r="M308" s="5">
        <f>17.2+5.4</f>
        <v>22.6</v>
      </c>
      <c r="N308" s="5">
        <f>(M308/I308)</f>
        <v>3.0581867388362651</v>
      </c>
      <c r="O308" s="5">
        <f>(M308*2000)/J308</f>
        <v>3.6015936254980079</v>
      </c>
      <c r="P308" s="8">
        <v>40466</v>
      </c>
      <c r="Q308" s="6">
        <v>25</v>
      </c>
      <c r="R308" s="5">
        <v>3.51</v>
      </c>
      <c r="S308" s="6">
        <v>5.3</v>
      </c>
      <c r="T308" s="3"/>
    </row>
    <row r="309" spans="1:20" s="4" customFormat="1" ht="15" customHeight="1" x14ac:dyDescent="0.2">
      <c r="A309" s="4">
        <v>2011</v>
      </c>
      <c r="B309" s="4" t="s">
        <v>122</v>
      </c>
      <c r="C309" s="4">
        <v>1</v>
      </c>
      <c r="D309" s="4" t="s">
        <v>133</v>
      </c>
      <c r="E309" s="4" t="s">
        <v>78</v>
      </c>
      <c r="F309" s="4">
        <v>643</v>
      </c>
      <c r="G309" s="4">
        <v>2008</v>
      </c>
      <c r="H309" s="4" t="s">
        <v>76</v>
      </c>
      <c r="I309" s="5">
        <f>4.87+2.52</f>
        <v>7.3900000000000006</v>
      </c>
      <c r="J309" s="4">
        <f>8342+4208</f>
        <v>12550</v>
      </c>
      <c r="K309" s="3">
        <f>(J309/I309)</f>
        <v>1698.2408660351825</v>
      </c>
      <c r="L309" s="3">
        <v>190</v>
      </c>
      <c r="M309" s="5">
        <v>32.64</v>
      </c>
      <c r="N309" s="5">
        <f>(M309/I309)</f>
        <v>4.4167794316644109</v>
      </c>
      <c r="O309" s="5">
        <f>(M309*2000)/J309</f>
        <v>5.201593625498008</v>
      </c>
      <c r="P309" s="8">
        <v>40845</v>
      </c>
      <c r="Q309" s="6">
        <v>21.8</v>
      </c>
      <c r="R309" s="5">
        <v>3.61</v>
      </c>
      <c r="S309" s="6">
        <v>5</v>
      </c>
      <c r="T309" s="3"/>
    </row>
    <row r="310" spans="1:20" s="4" customFormat="1" ht="15" customHeight="1" x14ac:dyDescent="0.2">
      <c r="A310" s="4">
        <v>2012</v>
      </c>
      <c r="B310" s="4" t="s">
        <v>122</v>
      </c>
      <c r="C310" s="4">
        <v>1</v>
      </c>
      <c r="D310" s="4" t="s">
        <v>133</v>
      </c>
      <c r="E310" s="4" t="s">
        <v>78</v>
      </c>
      <c r="F310" s="4">
        <v>643</v>
      </c>
      <c r="G310" s="4">
        <v>2008</v>
      </c>
      <c r="H310" s="4" t="s">
        <v>76</v>
      </c>
      <c r="I310" s="5">
        <f>4.87+2.52</f>
        <v>7.3900000000000006</v>
      </c>
      <c r="J310" s="4">
        <f>8342+4208</f>
        <v>12550</v>
      </c>
      <c r="K310" s="3">
        <f>(J310/I310)</f>
        <v>1698.2408660351825</v>
      </c>
      <c r="L310" s="3">
        <v>160</v>
      </c>
      <c r="M310" s="5">
        <f>16.07+24.94</f>
        <v>41.010000000000005</v>
      </c>
      <c r="N310" s="5">
        <f>(M310/I310)</f>
        <v>5.549391069012179</v>
      </c>
      <c r="O310" s="5">
        <f>(M310*2000)/J310</f>
        <v>6.5354581673306784</v>
      </c>
      <c r="P310" s="8" t="s">
        <v>79</v>
      </c>
      <c r="Q310" s="6">
        <f>(22.4+22+22.4+22+22.6+23.7)/6</f>
        <v>22.516666666666666</v>
      </c>
      <c r="R310" s="5">
        <f>(3.55+3.52+3.63+3.56+3.45+3.79)/6</f>
        <v>3.5833333333333335</v>
      </c>
      <c r="S310" s="6">
        <f>(5.51+6.2+5.43+5.73+5.36+5.17)/6</f>
        <v>5.5666666666666664</v>
      </c>
      <c r="T310" s="3"/>
    </row>
    <row r="311" spans="1:20" s="4" customFormat="1" ht="15" customHeight="1" x14ac:dyDescent="0.2">
      <c r="A311" s="4">
        <v>2008</v>
      </c>
      <c r="B311" s="4" t="s">
        <v>117</v>
      </c>
      <c r="C311" s="4">
        <v>1</v>
      </c>
      <c r="D311" s="10">
        <v>39539</v>
      </c>
      <c r="E311" s="4" t="s">
        <v>78</v>
      </c>
      <c r="F311" s="4" t="s">
        <v>63</v>
      </c>
      <c r="G311" s="4">
        <v>2006</v>
      </c>
      <c r="H311" s="4" t="s">
        <v>34</v>
      </c>
      <c r="I311" s="5">
        <v>9.11</v>
      </c>
      <c r="J311" s="4">
        <v>17000</v>
      </c>
      <c r="K311" s="3">
        <f>J311/I311</f>
        <v>1866.0812294182219</v>
      </c>
      <c r="L311" s="3">
        <v>142</v>
      </c>
      <c r="M311" s="5">
        <v>28.9</v>
      </c>
      <c r="N311" s="5">
        <f>SUM(M311/I311)</f>
        <v>3.1723380900109768</v>
      </c>
      <c r="O311" s="5">
        <f>SUM(M311*2000)/J311</f>
        <v>3.4</v>
      </c>
      <c r="P311" s="8">
        <v>39735</v>
      </c>
      <c r="Q311" s="6">
        <v>20.2</v>
      </c>
      <c r="R311" s="5">
        <v>3.61</v>
      </c>
      <c r="S311" s="6">
        <v>6.45</v>
      </c>
      <c r="T311" s="3"/>
    </row>
    <row r="312" spans="1:20" s="4" customFormat="1" ht="15" customHeight="1" x14ac:dyDescent="0.2">
      <c r="A312" s="4">
        <v>2009</v>
      </c>
      <c r="B312" s="4" t="s">
        <v>117</v>
      </c>
      <c r="C312" s="4">
        <v>1</v>
      </c>
      <c r="D312" s="10">
        <v>39539</v>
      </c>
      <c r="E312" s="4" t="s">
        <v>78</v>
      </c>
      <c r="F312" s="4" t="s">
        <v>63</v>
      </c>
      <c r="G312" s="4">
        <v>2006</v>
      </c>
      <c r="H312" s="4" t="s">
        <v>34</v>
      </c>
      <c r="I312" s="5">
        <v>9.11</v>
      </c>
      <c r="J312" s="4">
        <v>17000</v>
      </c>
      <c r="K312" s="3">
        <f>J312/I312</f>
        <v>1866.0812294182219</v>
      </c>
      <c r="L312" s="3"/>
      <c r="M312" s="5"/>
      <c r="N312" s="5"/>
      <c r="O312" s="5"/>
      <c r="P312" s="8"/>
      <c r="Q312" s="6"/>
      <c r="R312" s="5"/>
      <c r="S312" s="6"/>
      <c r="T312" s="3"/>
    </row>
    <row r="313" spans="1:20" s="4" customFormat="1" ht="15" customHeight="1" x14ac:dyDescent="0.2">
      <c r="A313" s="4">
        <v>2010</v>
      </c>
      <c r="B313" s="4" t="s">
        <v>117</v>
      </c>
      <c r="C313" s="4">
        <v>1</v>
      </c>
      <c r="D313" s="10">
        <v>39539</v>
      </c>
      <c r="E313" s="4" t="s">
        <v>78</v>
      </c>
      <c r="F313" s="4" t="s">
        <v>63</v>
      </c>
      <c r="G313" s="4">
        <v>2006</v>
      </c>
      <c r="H313" s="4" t="s">
        <v>34</v>
      </c>
      <c r="I313" s="5">
        <v>9.11</v>
      </c>
      <c r="J313" s="4">
        <v>17000</v>
      </c>
      <c r="K313" s="3">
        <f>J313/I313</f>
        <v>1866.0812294182219</v>
      </c>
      <c r="L313" s="3">
        <v>150</v>
      </c>
      <c r="M313" s="5">
        <v>11.7</v>
      </c>
      <c r="N313" s="5">
        <f t="shared" ref="N313:N328" si="26">SUM(M313/I313)</f>
        <v>1.2843029637760703</v>
      </c>
      <c r="O313" s="5">
        <f t="shared" ref="O313:O328" si="27">SUM(M313*2000)/J313</f>
        <v>1.3764705882352941</v>
      </c>
      <c r="P313" s="8">
        <v>40465</v>
      </c>
      <c r="Q313" s="6">
        <v>23.8</v>
      </c>
      <c r="R313" s="5">
        <v>3.52</v>
      </c>
      <c r="S313" s="6">
        <v>8.6</v>
      </c>
      <c r="T313" s="3"/>
    </row>
    <row r="314" spans="1:20" s="4" customFormat="1" ht="15" customHeight="1" x14ac:dyDescent="0.2">
      <c r="A314" s="4">
        <v>2011</v>
      </c>
      <c r="B314" s="4" t="s">
        <v>117</v>
      </c>
      <c r="C314" s="4">
        <v>1</v>
      </c>
      <c r="D314" s="10">
        <v>39539</v>
      </c>
      <c r="E314" s="4" t="s">
        <v>78</v>
      </c>
      <c r="F314" s="4" t="s">
        <v>63</v>
      </c>
      <c r="G314" s="4">
        <v>2006</v>
      </c>
      <c r="H314" s="4" t="s">
        <v>34</v>
      </c>
      <c r="I314" s="5">
        <v>9.11</v>
      </c>
      <c r="J314" s="4">
        <v>17000</v>
      </c>
      <c r="K314" s="3">
        <f>J314/I314</f>
        <v>1866.0812294182219</v>
      </c>
      <c r="L314" s="3">
        <v>200</v>
      </c>
      <c r="M314" s="5">
        <v>15.55</v>
      </c>
      <c r="N314" s="5">
        <f t="shared" si="26"/>
        <v>1.7069154774972559</v>
      </c>
      <c r="O314" s="5">
        <f t="shared" si="27"/>
        <v>1.8294117647058823</v>
      </c>
      <c r="P314" s="8">
        <v>40844</v>
      </c>
      <c r="Q314" s="6"/>
      <c r="R314" s="5"/>
      <c r="S314" s="6"/>
      <c r="T314" s="3"/>
    </row>
    <row r="315" spans="1:20" s="4" customFormat="1" ht="15" customHeight="1" x14ac:dyDescent="0.2">
      <c r="A315" s="4">
        <v>2012</v>
      </c>
      <c r="B315" s="4" t="s">
        <v>117</v>
      </c>
      <c r="C315" s="4">
        <v>1</v>
      </c>
      <c r="D315" s="10">
        <v>39539</v>
      </c>
      <c r="E315" s="4" t="s">
        <v>78</v>
      </c>
      <c r="F315" s="4" t="s">
        <v>63</v>
      </c>
      <c r="G315" s="4">
        <v>2006</v>
      </c>
      <c r="H315" s="4" t="s">
        <v>34</v>
      </c>
      <c r="I315" s="5">
        <v>9.11</v>
      </c>
      <c r="J315" s="4">
        <v>17000</v>
      </c>
      <c r="K315" s="3">
        <f>J315/I315</f>
        <v>1866.0812294182219</v>
      </c>
      <c r="L315" s="3">
        <v>125</v>
      </c>
      <c r="M315" s="5">
        <v>17.89</v>
      </c>
      <c r="N315" s="5">
        <f t="shared" si="26"/>
        <v>1.96377607025247</v>
      </c>
      <c r="O315" s="5">
        <f t="shared" si="27"/>
        <v>2.104705882352941</v>
      </c>
      <c r="P315" s="8">
        <v>41191</v>
      </c>
      <c r="Q315" s="6">
        <f>22.8</f>
        <v>22.8</v>
      </c>
      <c r="R315" s="5">
        <f>(3.43+3.51)/2</f>
        <v>3.4699999999999998</v>
      </c>
      <c r="S315" s="6">
        <f>(6.6+7.1)/2</f>
        <v>6.85</v>
      </c>
      <c r="T315" s="3"/>
    </row>
    <row r="316" spans="1:20" s="4" customFormat="1" ht="15" customHeight="1" x14ac:dyDescent="0.2">
      <c r="A316" s="4">
        <v>2000</v>
      </c>
      <c r="B316" s="4" t="s">
        <v>91</v>
      </c>
      <c r="C316" s="4">
        <v>5</v>
      </c>
      <c r="D316" s="9">
        <v>0.88888888888888884</v>
      </c>
      <c r="E316" s="4" t="s">
        <v>78</v>
      </c>
      <c r="F316" s="4" t="s">
        <v>9</v>
      </c>
      <c r="G316" s="4" t="s">
        <v>21</v>
      </c>
      <c r="H316" s="4" t="s">
        <v>22</v>
      </c>
      <c r="I316" s="5">
        <v>1.78</v>
      </c>
      <c r="J316" s="3">
        <v>2158</v>
      </c>
      <c r="K316" s="3">
        <f>SUM(J316/I316)</f>
        <v>1212.3595505617977</v>
      </c>
      <c r="L316" s="3">
        <v>114</v>
      </c>
      <c r="M316" s="5">
        <v>9.48</v>
      </c>
      <c r="N316" s="5">
        <f t="shared" si="26"/>
        <v>5.3258426966292136</v>
      </c>
      <c r="O316" s="5">
        <f t="shared" si="27"/>
        <v>8.7859128822984243</v>
      </c>
      <c r="P316" s="8">
        <v>37547</v>
      </c>
      <c r="Q316" s="6">
        <v>21</v>
      </c>
      <c r="R316" s="5">
        <v>3.22</v>
      </c>
      <c r="S316" s="6">
        <v>8.1</v>
      </c>
      <c r="T316" s="3"/>
    </row>
    <row r="317" spans="1:20" s="4" customFormat="1" ht="15" customHeight="1" x14ac:dyDescent="0.2">
      <c r="A317" s="4">
        <v>2001</v>
      </c>
      <c r="B317" s="4" t="s">
        <v>91</v>
      </c>
      <c r="C317" s="4">
        <v>5</v>
      </c>
      <c r="D317" s="9">
        <v>0.88888888888888884</v>
      </c>
      <c r="E317" s="4" t="s">
        <v>78</v>
      </c>
      <c r="F317" s="4" t="s">
        <v>9</v>
      </c>
      <c r="G317" s="4" t="s">
        <v>21</v>
      </c>
      <c r="H317" s="4" t="s">
        <v>22</v>
      </c>
      <c r="I317" s="5">
        <v>1.78</v>
      </c>
      <c r="J317" s="3">
        <v>2158</v>
      </c>
      <c r="K317" s="3">
        <f>SUM(J317/I317)</f>
        <v>1212.3595505617977</v>
      </c>
      <c r="L317" s="3">
        <v>135</v>
      </c>
      <c r="M317" s="5">
        <v>6.36</v>
      </c>
      <c r="N317" s="5">
        <f t="shared" si="26"/>
        <v>3.5730337078651688</v>
      </c>
      <c r="O317" s="5">
        <f t="shared" si="27"/>
        <v>5.8943466172381838</v>
      </c>
      <c r="P317" s="8">
        <v>37544</v>
      </c>
      <c r="Q317" s="6">
        <v>23.6</v>
      </c>
      <c r="R317" s="5">
        <v>3.37</v>
      </c>
      <c r="S317" s="6">
        <v>7.4</v>
      </c>
      <c r="T317" s="3"/>
    </row>
    <row r="318" spans="1:20" s="4" customFormat="1" ht="15" customHeight="1" x14ac:dyDescent="0.2">
      <c r="A318" s="4">
        <v>2002</v>
      </c>
      <c r="B318" s="4" t="s">
        <v>91</v>
      </c>
      <c r="C318" s="4">
        <v>5</v>
      </c>
      <c r="D318" s="9">
        <v>0.88888888888888884</v>
      </c>
      <c r="E318" s="4" t="s">
        <v>78</v>
      </c>
      <c r="F318" s="4" t="s">
        <v>9</v>
      </c>
      <c r="G318" s="4" t="s">
        <v>21</v>
      </c>
      <c r="H318" s="4" t="s">
        <v>22</v>
      </c>
      <c r="I318" s="5">
        <v>1.78</v>
      </c>
      <c r="J318" s="3">
        <v>2158</v>
      </c>
      <c r="K318" s="3">
        <f>SUM(J318/I318)</f>
        <v>1212.3595505617977</v>
      </c>
      <c r="L318" s="3">
        <v>132</v>
      </c>
      <c r="M318" s="5">
        <v>5.43</v>
      </c>
      <c r="N318" s="5">
        <f t="shared" si="26"/>
        <v>3.0505617977528088</v>
      </c>
      <c r="O318" s="5">
        <f t="shared" si="27"/>
        <v>5.0324374420759961</v>
      </c>
      <c r="P318" s="8">
        <v>37894</v>
      </c>
      <c r="Q318" s="6">
        <v>23</v>
      </c>
      <c r="R318" s="5">
        <v>3.5</v>
      </c>
      <c r="S318" s="6">
        <v>6</v>
      </c>
      <c r="T318" s="3"/>
    </row>
    <row r="319" spans="1:20" s="4" customFormat="1" ht="15" customHeight="1" x14ac:dyDescent="0.2">
      <c r="A319" s="4">
        <v>2003</v>
      </c>
      <c r="B319" s="4" t="s">
        <v>91</v>
      </c>
      <c r="C319" s="4">
        <v>5</v>
      </c>
      <c r="D319" s="9">
        <v>0.88888888888888884</v>
      </c>
      <c r="E319" s="4" t="s">
        <v>78</v>
      </c>
      <c r="F319" s="4" t="s">
        <v>9</v>
      </c>
      <c r="G319" s="4" t="s">
        <v>21</v>
      </c>
      <c r="H319" s="4" t="s">
        <v>22</v>
      </c>
      <c r="I319" s="5">
        <v>1.78</v>
      </c>
      <c r="J319" s="3">
        <v>2158</v>
      </c>
      <c r="K319" s="3">
        <f>SUM(J319/I319)</f>
        <v>1212.3595505617977</v>
      </c>
      <c r="L319" s="3">
        <v>148</v>
      </c>
      <c r="M319" s="5">
        <v>5.5</v>
      </c>
      <c r="N319" s="5">
        <f t="shared" si="26"/>
        <v>3.089887640449438</v>
      </c>
      <c r="O319" s="5">
        <f t="shared" si="27"/>
        <v>5.0973123262279891</v>
      </c>
      <c r="P319" s="8">
        <v>37916</v>
      </c>
      <c r="Q319" s="6">
        <v>24.8</v>
      </c>
      <c r="R319" s="5">
        <v>3.7</v>
      </c>
      <c r="S319" s="6">
        <v>4.5</v>
      </c>
      <c r="T319" s="3"/>
    </row>
    <row r="320" spans="1:20" s="4" customFormat="1" ht="15" customHeight="1" x14ac:dyDescent="0.2">
      <c r="A320" s="4">
        <v>2004</v>
      </c>
      <c r="B320" s="4" t="s">
        <v>91</v>
      </c>
      <c r="C320" s="4">
        <v>5</v>
      </c>
      <c r="D320" s="9">
        <v>0.88888888888888884</v>
      </c>
      <c r="E320" s="4" t="s">
        <v>78</v>
      </c>
      <c r="F320" s="4" t="s">
        <v>9</v>
      </c>
      <c r="G320" s="4" t="s">
        <v>21</v>
      </c>
      <c r="H320" s="4" t="s">
        <v>22</v>
      </c>
      <c r="I320" s="5">
        <v>1.78</v>
      </c>
      <c r="J320" s="3">
        <v>2158</v>
      </c>
      <c r="K320" s="3">
        <v>1212</v>
      </c>
      <c r="L320" s="3">
        <v>150</v>
      </c>
      <c r="M320" s="5">
        <v>12.5</v>
      </c>
      <c r="N320" s="5">
        <f t="shared" si="26"/>
        <v>7.0224719101123592</v>
      </c>
      <c r="O320" s="5">
        <f t="shared" si="27"/>
        <v>11.584800741427248</v>
      </c>
      <c r="P320" s="8">
        <v>38283</v>
      </c>
      <c r="Q320" s="6">
        <v>25</v>
      </c>
      <c r="R320" s="5">
        <v>3.57</v>
      </c>
      <c r="S320" s="6">
        <v>5.3</v>
      </c>
      <c r="T320" s="3"/>
    </row>
    <row r="321" spans="1:20" s="4" customFormat="1" ht="15" customHeight="1" x14ac:dyDescent="0.2">
      <c r="A321" s="4">
        <v>2005</v>
      </c>
      <c r="B321" s="4" t="s">
        <v>91</v>
      </c>
      <c r="C321" s="4">
        <v>5</v>
      </c>
      <c r="D321" s="9">
        <v>0.88888888888888884</v>
      </c>
      <c r="E321" s="4" t="s">
        <v>78</v>
      </c>
      <c r="F321" s="4" t="s">
        <v>9</v>
      </c>
      <c r="G321" s="4" t="s">
        <v>21</v>
      </c>
      <c r="H321" s="4" t="s">
        <v>22</v>
      </c>
      <c r="I321" s="5">
        <v>1.78</v>
      </c>
      <c r="J321" s="3">
        <v>2158</v>
      </c>
      <c r="K321" s="3">
        <v>1212</v>
      </c>
      <c r="L321" s="3">
        <v>110</v>
      </c>
      <c r="M321" s="5">
        <v>7.3</v>
      </c>
      <c r="N321" s="5">
        <f t="shared" si="26"/>
        <v>4.1011235955056176</v>
      </c>
      <c r="O321" s="5">
        <f t="shared" si="27"/>
        <v>6.7655236329935127</v>
      </c>
      <c r="P321" s="8">
        <v>38643</v>
      </c>
      <c r="Q321" s="6">
        <v>25</v>
      </c>
      <c r="R321" s="5">
        <v>3.46</v>
      </c>
      <c r="S321" s="6">
        <v>5.0999999999999996</v>
      </c>
      <c r="T321" s="3"/>
    </row>
    <row r="322" spans="1:20" s="4" customFormat="1" ht="15" customHeight="1" x14ac:dyDescent="0.2">
      <c r="A322" s="4">
        <v>2006</v>
      </c>
      <c r="B322" s="4" t="s">
        <v>91</v>
      </c>
      <c r="C322" s="4">
        <v>5</v>
      </c>
      <c r="D322" s="9">
        <v>0.88888888888888884</v>
      </c>
      <c r="E322" s="4" t="s">
        <v>78</v>
      </c>
      <c r="F322" s="4" t="s">
        <v>9</v>
      </c>
      <c r="G322" s="4" t="s">
        <v>21</v>
      </c>
      <c r="H322" s="4" t="s">
        <v>22</v>
      </c>
      <c r="I322" s="5">
        <v>1.78</v>
      </c>
      <c r="J322" s="3">
        <v>2158</v>
      </c>
      <c r="K322" s="3">
        <v>1212</v>
      </c>
      <c r="L322" s="3">
        <v>122</v>
      </c>
      <c r="M322" s="5">
        <v>10.199999999999999</v>
      </c>
      <c r="N322" s="5">
        <f t="shared" si="26"/>
        <v>5.7303370786516847</v>
      </c>
      <c r="O322" s="5">
        <f t="shared" si="27"/>
        <v>9.4531974050046337</v>
      </c>
      <c r="P322" s="8">
        <v>39002</v>
      </c>
      <c r="Q322" s="6">
        <v>24.4</v>
      </c>
      <c r="R322" s="5">
        <v>3.52</v>
      </c>
      <c r="S322" s="6">
        <v>5.5</v>
      </c>
      <c r="T322" s="3"/>
    </row>
    <row r="323" spans="1:20" s="4" customFormat="1" ht="15" customHeight="1" x14ac:dyDescent="0.2">
      <c r="A323" s="4">
        <v>2007</v>
      </c>
      <c r="B323" s="4" t="s">
        <v>91</v>
      </c>
      <c r="C323" s="4">
        <v>5</v>
      </c>
      <c r="D323" s="9">
        <v>0.88888888888888884</v>
      </c>
      <c r="E323" s="4" t="s">
        <v>78</v>
      </c>
      <c r="F323" s="4" t="s">
        <v>9</v>
      </c>
      <c r="G323" s="4" t="s">
        <v>21</v>
      </c>
      <c r="H323" s="4" t="s">
        <v>22</v>
      </c>
      <c r="I323" s="5">
        <v>1.78</v>
      </c>
      <c r="J323" s="3">
        <v>2158</v>
      </c>
      <c r="K323" s="3">
        <v>1212</v>
      </c>
      <c r="L323" s="3">
        <v>168</v>
      </c>
      <c r="M323" s="5">
        <v>13.6</v>
      </c>
      <c r="N323" s="5">
        <f t="shared" si="26"/>
        <v>7.6404494382022472</v>
      </c>
      <c r="O323" s="5">
        <f t="shared" si="27"/>
        <v>12.604263206672845</v>
      </c>
      <c r="P323" s="8">
        <v>39367</v>
      </c>
      <c r="Q323" s="6">
        <v>21.6</v>
      </c>
      <c r="R323" s="5">
        <v>3.35</v>
      </c>
      <c r="S323" s="6">
        <v>8.9</v>
      </c>
      <c r="T323" s="3"/>
    </row>
    <row r="324" spans="1:20" s="4" customFormat="1" ht="15" customHeight="1" x14ac:dyDescent="0.2">
      <c r="A324" s="4">
        <v>2008</v>
      </c>
      <c r="B324" s="4" t="s">
        <v>91</v>
      </c>
      <c r="C324" s="4">
        <v>5</v>
      </c>
      <c r="D324" s="9">
        <v>0.88888888888888884</v>
      </c>
      <c r="E324" s="4" t="s">
        <v>78</v>
      </c>
      <c r="F324" s="4" t="s">
        <v>9</v>
      </c>
      <c r="G324" s="4" t="s">
        <v>21</v>
      </c>
      <c r="H324" s="4" t="s">
        <v>22</v>
      </c>
      <c r="I324" s="5">
        <v>1.78</v>
      </c>
      <c r="J324" s="3">
        <v>2158</v>
      </c>
      <c r="K324" s="3">
        <v>1212</v>
      </c>
      <c r="L324" s="3">
        <v>152</v>
      </c>
      <c r="M324" s="5">
        <v>10.7</v>
      </c>
      <c r="N324" s="5">
        <f t="shared" si="26"/>
        <v>6.0112359550561791</v>
      </c>
      <c r="O324" s="5">
        <f t="shared" si="27"/>
        <v>9.9165894346617236</v>
      </c>
      <c r="P324" s="8">
        <v>39732</v>
      </c>
      <c r="Q324" s="6">
        <v>22.8</v>
      </c>
      <c r="R324" s="5">
        <v>3.41</v>
      </c>
      <c r="S324" s="6">
        <v>7.4</v>
      </c>
      <c r="T324" s="3"/>
    </row>
    <row r="325" spans="1:20" s="4" customFormat="1" ht="15" customHeight="1" x14ac:dyDescent="0.2">
      <c r="A325" s="4">
        <v>2009</v>
      </c>
      <c r="B325" s="4" t="s">
        <v>91</v>
      </c>
      <c r="C325" s="4">
        <v>5</v>
      </c>
      <c r="D325" s="9">
        <v>0.88888888888888884</v>
      </c>
      <c r="E325" s="4" t="s">
        <v>78</v>
      </c>
      <c r="F325" s="4" t="s">
        <v>9</v>
      </c>
      <c r="G325" s="4" t="s">
        <v>21</v>
      </c>
      <c r="H325" s="4" t="s">
        <v>22</v>
      </c>
      <c r="I325" s="5">
        <v>1.78</v>
      </c>
      <c r="J325" s="3">
        <v>2158</v>
      </c>
      <c r="K325" s="3">
        <v>1212</v>
      </c>
      <c r="L325" s="3">
        <v>200</v>
      </c>
      <c r="M325" s="5">
        <v>13.1</v>
      </c>
      <c r="N325" s="5">
        <f t="shared" si="26"/>
        <v>7.3595505617977528</v>
      </c>
      <c r="O325" s="5">
        <f t="shared" si="27"/>
        <v>12.140871177015756</v>
      </c>
      <c r="P325" s="8">
        <v>40092</v>
      </c>
      <c r="Q325" s="6">
        <v>23</v>
      </c>
      <c r="R325" s="5">
        <v>3.35</v>
      </c>
      <c r="S325" s="6">
        <v>6.7</v>
      </c>
      <c r="T325" s="3"/>
    </row>
    <row r="326" spans="1:20" s="4" customFormat="1" ht="15" customHeight="1" x14ac:dyDescent="0.2">
      <c r="A326" s="4">
        <v>2010</v>
      </c>
      <c r="B326" s="4" t="s">
        <v>91</v>
      </c>
      <c r="C326" s="4">
        <v>5</v>
      </c>
      <c r="D326" s="9">
        <v>0.88888888888888884</v>
      </c>
      <c r="E326" s="4" t="s">
        <v>78</v>
      </c>
      <c r="F326" s="4" t="s">
        <v>9</v>
      </c>
      <c r="G326" s="4" t="s">
        <v>21</v>
      </c>
      <c r="H326" s="4" t="s">
        <v>22</v>
      </c>
      <c r="I326" s="5">
        <v>1.78</v>
      </c>
      <c r="J326" s="3">
        <v>2158</v>
      </c>
      <c r="K326" s="3">
        <v>1212</v>
      </c>
      <c r="L326" s="3">
        <v>80</v>
      </c>
      <c r="M326" s="5">
        <v>8.3000000000000007</v>
      </c>
      <c r="N326" s="5">
        <f t="shared" si="26"/>
        <v>4.6629213483146073</v>
      </c>
      <c r="O326" s="5">
        <f t="shared" si="27"/>
        <v>7.6923076923076925</v>
      </c>
      <c r="P326" s="8">
        <v>40470</v>
      </c>
      <c r="Q326" s="6">
        <v>23</v>
      </c>
      <c r="R326" s="5">
        <v>3.38</v>
      </c>
      <c r="S326" s="6">
        <v>8.3000000000000007</v>
      </c>
      <c r="T326" s="3"/>
    </row>
    <row r="327" spans="1:20" s="4" customFormat="1" ht="15" customHeight="1" x14ac:dyDescent="0.2">
      <c r="A327" s="4">
        <v>2011</v>
      </c>
      <c r="B327" s="4" t="s">
        <v>91</v>
      </c>
      <c r="C327" s="4">
        <v>5</v>
      </c>
      <c r="D327" s="9">
        <v>0.88888888888888884</v>
      </c>
      <c r="E327" s="4" t="s">
        <v>78</v>
      </c>
      <c r="F327" s="4" t="s">
        <v>9</v>
      </c>
      <c r="G327" s="4" t="s">
        <v>21</v>
      </c>
      <c r="H327" s="4" t="s">
        <v>22</v>
      </c>
      <c r="I327" s="5">
        <v>1.78</v>
      </c>
      <c r="J327" s="3">
        <v>2158</v>
      </c>
      <c r="K327" s="3">
        <v>1212</v>
      </c>
      <c r="L327" s="3">
        <v>160</v>
      </c>
      <c r="M327" s="5">
        <v>7.29</v>
      </c>
      <c r="N327" s="5">
        <f t="shared" si="26"/>
        <v>4.095505617977528</v>
      </c>
      <c r="O327" s="5">
        <f t="shared" si="27"/>
        <v>6.7562557924003706</v>
      </c>
      <c r="P327" s="8">
        <v>40842</v>
      </c>
      <c r="Q327" s="6">
        <v>22.5</v>
      </c>
      <c r="R327" s="5">
        <v>3.63</v>
      </c>
      <c r="S327" s="6">
        <v>5.4</v>
      </c>
      <c r="T327" s="3"/>
    </row>
    <row r="328" spans="1:20" s="4" customFormat="1" ht="15" customHeight="1" x14ac:dyDescent="0.2">
      <c r="A328" s="4">
        <v>2012</v>
      </c>
      <c r="B328" s="4" t="s">
        <v>91</v>
      </c>
      <c r="C328" s="4">
        <v>5</v>
      </c>
      <c r="D328" s="9">
        <v>0.88888888888888884</v>
      </c>
      <c r="E328" s="4" t="s">
        <v>78</v>
      </c>
      <c r="F328" s="4" t="s">
        <v>9</v>
      </c>
      <c r="G328" s="4" t="s">
        <v>21</v>
      </c>
      <c r="H328" s="4" t="s">
        <v>22</v>
      </c>
      <c r="I328" s="5">
        <v>1.78</v>
      </c>
      <c r="J328" s="3">
        <v>2158</v>
      </c>
      <c r="K328" s="3">
        <v>1212</v>
      </c>
      <c r="L328" s="3">
        <v>95</v>
      </c>
      <c r="M328" s="5">
        <f>5.96+0.49</f>
        <v>6.45</v>
      </c>
      <c r="N328" s="5">
        <f t="shared" si="26"/>
        <v>3.6235955056179776</v>
      </c>
      <c r="O328" s="5">
        <f t="shared" si="27"/>
        <v>5.9777571825764593</v>
      </c>
      <c r="P328" s="8">
        <v>41187</v>
      </c>
      <c r="Q328" s="6">
        <v>23.2</v>
      </c>
      <c r="R328" s="5">
        <v>3.24</v>
      </c>
      <c r="S328" s="6">
        <v>6.5</v>
      </c>
      <c r="T328" s="3"/>
    </row>
    <row r="329" spans="1:20" s="4" customFormat="1" ht="15" customHeight="1" x14ac:dyDescent="0.2">
      <c r="A329" s="4">
        <v>2012</v>
      </c>
      <c r="B329" s="4" t="s">
        <v>132</v>
      </c>
      <c r="C329" s="4" t="s">
        <v>135</v>
      </c>
      <c r="E329" s="4" t="s">
        <v>78</v>
      </c>
      <c r="I329" s="5"/>
      <c r="K329" s="3"/>
      <c r="L329" s="3"/>
      <c r="M329" s="5">
        <v>6.83</v>
      </c>
      <c r="N329" s="5"/>
      <c r="O329" s="5"/>
      <c r="P329" s="8">
        <v>41200</v>
      </c>
      <c r="Q329" s="6">
        <v>23</v>
      </c>
      <c r="R329" s="5">
        <v>3.36</v>
      </c>
      <c r="S329" s="6">
        <v>6.67</v>
      </c>
      <c r="T329" s="3"/>
    </row>
    <row r="330" spans="1:20" s="4" customFormat="1" ht="15" customHeight="1" x14ac:dyDescent="0.2">
      <c r="A330" s="4">
        <v>2009</v>
      </c>
      <c r="B330" s="4" t="s">
        <v>118</v>
      </c>
      <c r="E330" s="4" t="s">
        <v>78</v>
      </c>
      <c r="I330" s="5"/>
      <c r="K330" s="3"/>
      <c r="L330" s="3"/>
      <c r="M330" s="5">
        <v>8.8000000000000007</v>
      </c>
      <c r="N330" s="5"/>
      <c r="O330" s="5"/>
      <c r="P330" s="8">
        <v>40097</v>
      </c>
      <c r="Q330" s="6">
        <v>20.6</v>
      </c>
      <c r="R330" s="5">
        <v>3.47</v>
      </c>
      <c r="S330" s="6">
        <v>6.3</v>
      </c>
      <c r="T330" s="3"/>
    </row>
    <row r="331" spans="1:20" s="4" customFormat="1" ht="15" customHeight="1" x14ac:dyDescent="0.2">
      <c r="A331" s="4">
        <v>2010</v>
      </c>
      <c r="B331" s="4" t="s">
        <v>118</v>
      </c>
      <c r="C331" s="4" t="s">
        <v>134</v>
      </c>
      <c r="E331" s="4" t="s">
        <v>78</v>
      </c>
      <c r="I331" s="5"/>
      <c r="K331" s="3"/>
      <c r="L331" s="3">
        <v>120</v>
      </c>
      <c r="M331" s="5">
        <v>7.6</v>
      </c>
      <c r="N331" s="5"/>
      <c r="O331" s="5"/>
      <c r="P331" s="8">
        <v>40466</v>
      </c>
      <c r="Q331" s="6">
        <v>19.399999999999999</v>
      </c>
      <c r="R331" s="5">
        <v>3.35</v>
      </c>
      <c r="S331" s="6">
        <v>8.9</v>
      </c>
      <c r="T331" s="3"/>
    </row>
    <row r="332" spans="1:20" s="4" customFormat="1" ht="15" customHeight="1" x14ac:dyDescent="0.2">
      <c r="A332" s="4">
        <v>2011</v>
      </c>
      <c r="B332" s="4" t="s">
        <v>118</v>
      </c>
      <c r="C332" s="4" t="s">
        <v>134</v>
      </c>
      <c r="E332" s="4" t="s">
        <v>78</v>
      </c>
      <c r="I332" s="5"/>
      <c r="K332" s="3"/>
      <c r="L332" s="3"/>
      <c r="M332" s="5">
        <v>8.24</v>
      </c>
      <c r="N332" s="5"/>
      <c r="O332" s="5"/>
      <c r="P332" s="8">
        <v>40844</v>
      </c>
      <c r="Q332" s="6">
        <v>22.5</v>
      </c>
      <c r="R332" s="5">
        <v>3.63</v>
      </c>
      <c r="S332" s="6">
        <v>5.4</v>
      </c>
      <c r="T332" s="3"/>
    </row>
    <row r="333" spans="1:20" s="4" customFormat="1" ht="15" customHeight="1" x14ac:dyDescent="0.2">
      <c r="A333" s="4">
        <v>2012</v>
      </c>
      <c r="B333" s="4" t="s">
        <v>118</v>
      </c>
      <c r="C333" s="4" t="s">
        <v>134</v>
      </c>
      <c r="E333" s="4" t="s">
        <v>78</v>
      </c>
      <c r="I333" s="5"/>
      <c r="K333" s="3"/>
      <c r="L333" s="3"/>
      <c r="M333" s="5">
        <v>5.86</v>
      </c>
      <c r="N333" s="5"/>
      <c r="O333" s="5"/>
      <c r="P333" s="8">
        <v>41189</v>
      </c>
      <c r="Q333" s="6">
        <v>22.4</v>
      </c>
      <c r="R333" s="5">
        <v>3.66</v>
      </c>
      <c r="S333" s="6">
        <v>5.5</v>
      </c>
      <c r="T333" s="3"/>
    </row>
    <row r="334" spans="1:20" s="4" customFormat="1" ht="15" customHeight="1" x14ac:dyDescent="0.2">
      <c r="A334" s="4">
        <v>2011</v>
      </c>
      <c r="B334" s="4" t="s">
        <v>130</v>
      </c>
      <c r="C334" s="4" t="s">
        <v>135</v>
      </c>
      <c r="E334" s="4" t="s">
        <v>78</v>
      </c>
      <c r="I334" s="5"/>
      <c r="K334" s="3"/>
      <c r="L334" s="3">
        <v>220</v>
      </c>
      <c r="M334" s="5">
        <v>31.39</v>
      </c>
      <c r="N334" s="5"/>
      <c r="O334" s="5"/>
      <c r="P334" s="8">
        <v>40846</v>
      </c>
      <c r="Q334" s="6">
        <v>22.2</v>
      </c>
      <c r="R334" s="5">
        <v>3.49</v>
      </c>
      <c r="S334" s="6">
        <v>6.45</v>
      </c>
      <c r="T334" s="3"/>
    </row>
    <row r="335" spans="1:20" s="4" customFormat="1" ht="15" customHeight="1" x14ac:dyDescent="0.2">
      <c r="A335" s="4">
        <v>2012</v>
      </c>
      <c r="B335" s="4" t="s">
        <v>130</v>
      </c>
      <c r="C335" s="4" t="s">
        <v>135</v>
      </c>
      <c r="E335" s="4" t="s">
        <v>78</v>
      </c>
      <c r="I335" s="5"/>
      <c r="K335" s="3"/>
      <c r="L335" s="3">
        <v>142</v>
      </c>
      <c r="M335" s="5">
        <f>4.43+16.06+7.89</f>
        <v>28.38</v>
      </c>
      <c r="N335" s="5"/>
      <c r="O335" s="5"/>
      <c r="P335" s="8">
        <v>41186</v>
      </c>
      <c r="Q335" s="6">
        <f>(22.8+22.2+22.4)/3</f>
        <v>22.466666666666669</v>
      </c>
      <c r="R335" s="5">
        <f>(3.36+3.37+3.31)/2</f>
        <v>5.0200000000000005</v>
      </c>
      <c r="S335" s="6">
        <f>(6.6+6.2+6.9)/3</f>
        <v>6.5666666666666673</v>
      </c>
      <c r="T335" s="3"/>
    </row>
    <row r="336" spans="1:20" s="4" customFormat="1" ht="15" customHeight="1" x14ac:dyDescent="0.2">
      <c r="A336" s="4">
        <v>2008</v>
      </c>
      <c r="B336" s="4" t="s">
        <v>97</v>
      </c>
      <c r="C336" s="4">
        <v>1</v>
      </c>
      <c r="E336" s="4" t="s">
        <v>114</v>
      </c>
      <c r="I336" s="5"/>
      <c r="K336" s="3"/>
      <c r="L336" s="3"/>
      <c r="M336" s="5">
        <v>0.3</v>
      </c>
      <c r="N336" s="5"/>
      <c r="O336" s="5"/>
      <c r="P336" s="8"/>
      <c r="Q336" s="6"/>
      <c r="R336" s="5"/>
      <c r="S336" s="6"/>
      <c r="T336" s="3"/>
    </row>
    <row r="337" spans="1:20" s="4" customFormat="1" ht="15" customHeight="1" x14ac:dyDescent="0.2">
      <c r="A337" s="4">
        <v>2009</v>
      </c>
      <c r="B337" s="4" t="s">
        <v>97</v>
      </c>
      <c r="C337" s="4">
        <v>1</v>
      </c>
      <c r="E337" s="4" t="s">
        <v>114</v>
      </c>
      <c r="I337" s="5"/>
      <c r="K337" s="3"/>
      <c r="L337" s="3">
        <v>130</v>
      </c>
      <c r="M337" s="5">
        <v>0.2</v>
      </c>
      <c r="N337" s="5"/>
      <c r="O337" s="5"/>
      <c r="P337" s="8">
        <v>40084</v>
      </c>
      <c r="Q337" s="6">
        <v>30</v>
      </c>
      <c r="R337" s="5">
        <v>4.0199999999999996</v>
      </c>
      <c r="S337" s="6">
        <v>7.5</v>
      </c>
      <c r="T337" s="3"/>
    </row>
    <row r="338" spans="1:20" s="4" customFormat="1" ht="15" customHeight="1" x14ac:dyDescent="0.2">
      <c r="A338" s="4">
        <v>2010</v>
      </c>
      <c r="B338" s="4" t="s">
        <v>97</v>
      </c>
      <c r="C338" s="4">
        <v>1</v>
      </c>
      <c r="E338" s="4" t="s">
        <v>114</v>
      </c>
      <c r="I338" s="5"/>
      <c r="K338" s="3"/>
      <c r="L338" s="3"/>
      <c r="M338" s="5"/>
      <c r="N338" s="5"/>
      <c r="O338" s="5"/>
      <c r="P338" s="8"/>
      <c r="Q338" s="6"/>
      <c r="R338" s="5"/>
      <c r="S338" s="6"/>
      <c r="T338" s="3"/>
    </row>
    <row r="339" spans="1:20" s="4" customFormat="1" ht="15" customHeight="1" x14ac:dyDescent="0.2">
      <c r="A339" s="4">
        <v>2011</v>
      </c>
      <c r="B339" s="4" t="s">
        <v>97</v>
      </c>
      <c r="C339" s="4">
        <v>1</v>
      </c>
      <c r="E339" s="4" t="s">
        <v>114</v>
      </c>
      <c r="I339" s="5"/>
      <c r="K339" s="3"/>
      <c r="L339" s="3"/>
      <c r="M339" s="5"/>
      <c r="N339" s="5"/>
      <c r="O339" s="5"/>
      <c r="P339" s="8"/>
      <c r="Q339" s="6"/>
      <c r="R339" s="5"/>
      <c r="S339" s="6"/>
      <c r="T339" s="3"/>
    </row>
    <row r="340" spans="1:20" s="4" customFormat="1" ht="15" customHeight="1" x14ac:dyDescent="0.2">
      <c r="A340" s="4">
        <v>2012</v>
      </c>
      <c r="B340" s="4" t="s">
        <v>97</v>
      </c>
      <c r="C340" s="4">
        <v>1</v>
      </c>
      <c r="E340" s="4" t="s">
        <v>114</v>
      </c>
      <c r="I340" s="5"/>
      <c r="K340" s="3"/>
      <c r="L340" s="3">
        <v>108</v>
      </c>
      <c r="M340" s="5">
        <v>0.18</v>
      </c>
      <c r="N340" s="5"/>
      <c r="O340" s="5"/>
      <c r="P340" s="8">
        <v>41180</v>
      </c>
      <c r="Q340" s="6">
        <v>28</v>
      </c>
      <c r="R340" s="5">
        <v>3.78</v>
      </c>
      <c r="S340" s="6">
        <v>7.5</v>
      </c>
      <c r="T340" s="3"/>
    </row>
    <row r="341" spans="1:20" s="4" customFormat="1" ht="15" customHeight="1" x14ac:dyDescent="0.2">
      <c r="A341" s="4">
        <v>2000</v>
      </c>
      <c r="B341" s="4" t="s">
        <v>115</v>
      </c>
      <c r="C341" s="4">
        <v>1</v>
      </c>
      <c r="D341" s="4">
        <v>5</v>
      </c>
      <c r="E341" s="4" t="s">
        <v>114</v>
      </c>
      <c r="F341" s="4" t="s">
        <v>36</v>
      </c>
      <c r="G341" s="4" t="s">
        <v>59</v>
      </c>
      <c r="H341" s="4" t="s">
        <v>58</v>
      </c>
      <c r="I341" s="5">
        <v>10</v>
      </c>
      <c r="J341" s="3">
        <v>4600</v>
      </c>
      <c r="K341" s="3">
        <f t="shared" ref="K341:K348" si="28">SUM(J341/I341)</f>
        <v>460</v>
      </c>
      <c r="L341" s="3">
        <v>110</v>
      </c>
      <c r="M341" s="5">
        <v>31.162500000000001</v>
      </c>
      <c r="N341" s="5">
        <f t="shared" ref="N341:N346" si="29">SUM(M341/I341)</f>
        <v>3.11625</v>
      </c>
      <c r="O341" s="5">
        <f t="shared" ref="O341:O364" si="30">SUM(M341*2000)/J341</f>
        <v>13.548913043478262</v>
      </c>
      <c r="P341" s="8">
        <v>37545</v>
      </c>
      <c r="Q341" s="6">
        <v>23.6</v>
      </c>
      <c r="R341" s="5">
        <v>3.2</v>
      </c>
      <c r="S341" s="6">
        <v>12.5</v>
      </c>
      <c r="T341" s="3"/>
    </row>
    <row r="342" spans="1:20" s="4" customFormat="1" ht="15" customHeight="1" x14ac:dyDescent="0.2">
      <c r="A342" s="4">
        <v>2001</v>
      </c>
      <c r="B342" s="4" t="s">
        <v>115</v>
      </c>
      <c r="C342" s="4">
        <v>1</v>
      </c>
      <c r="D342" s="4">
        <v>5</v>
      </c>
      <c r="E342" s="4" t="s">
        <v>114</v>
      </c>
      <c r="F342" s="4" t="s">
        <v>36</v>
      </c>
      <c r="G342" s="4" t="s">
        <v>59</v>
      </c>
      <c r="H342" s="4" t="s">
        <v>58</v>
      </c>
      <c r="I342" s="5">
        <v>10</v>
      </c>
      <c r="J342" s="3">
        <v>4600</v>
      </c>
      <c r="K342" s="3">
        <f t="shared" si="28"/>
        <v>460</v>
      </c>
      <c r="L342" s="3">
        <v>121</v>
      </c>
      <c r="M342" s="5">
        <v>37.201999999999998</v>
      </c>
      <c r="N342" s="5">
        <f t="shared" si="29"/>
        <v>3.7201999999999997</v>
      </c>
      <c r="O342" s="5">
        <f t="shared" si="30"/>
        <v>16.174782608695651</v>
      </c>
      <c r="P342" s="8">
        <v>37165</v>
      </c>
      <c r="Q342" s="6">
        <v>25.2</v>
      </c>
      <c r="R342" s="5">
        <v>3.39</v>
      </c>
      <c r="S342" s="6">
        <v>9.4</v>
      </c>
      <c r="T342" s="3"/>
    </row>
    <row r="343" spans="1:20" s="4" customFormat="1" ht="15" customHeight="1" x14ac:dyDescent="0.2">
      <c r="A343" s="4">
        <v>2002</v>
      </c>
      <c r="B343" s="4" t="s">
        <v>115</v>
      </c>
      <c r="C343" s="4">
        <v>1</v>
      </c>
      <c r="D343" s="4">
        <v>5</v>
      </c>
      <c r="E343" s="4" t="s">
        <v>114</v>
      </c>
      <c r="F343" s="4" t="s">
        <v>36</v>
      </c>
      <c r="G343" s="4" t="s">
        <v>59</v>
      </c>
      <c r="H343" s="4" t="s">
        <v>58</v>
      </c>
      <c r="I343" s="5">
        <v>10</v>
      </c>
      <c r="J343" s="3">
        <v>4600</v>
      </c>
      <c r="K343" s="3">
        <f t="shared" si="28"/>
        <v>460</v>
      </c>
      <c r="L343" s="4">
        <v>114</v>
      </c>
      <c r="M343" s="5">
        <v>25.03</v>
      </c>
      <c r="N343" s="5">
        <f t="shared" si="29"/>
        <v>2.5030000000000001</v>
      </c>
      <c r="O343" s="5">
        <f t="shared" si="30"/>
        <v>10.882608695652173</v>
      </c>
      <c r="P343" s="8">
        <v>37901</v>
      </c>
      <c r="Q343" s="6">
        <v>24.5</v>
      </c>
      <c r="R343" s="5">
        <v>3.4</v>
      </c>
      <c r="S343" s="6">
        <v>10.199999999999999</v>
      </c>
      <c r="T343" s="3"/>
    </row>
    <row r="344" spans="1:20" s="4" customFormat="1" ht="15" customHeight="1" x14ac:dyDescent="0.2">
      <c r="A344" s="4">
        <v>2003</v>
      </c>
      <c r="B344" s="4" t="s">
        <v>115</v>
      </c>
      <c r="C344" s="4">
        <v>1</v>
      </c>
      <c r="D344" s="4">
        <v>5</v>
      </c>
      <c r="E344" s="4" t="s">
        <v>114</v>
      </c>
      <c r="F344" s="4" t="s">
        <v>36</v>
      </c>
      <c r="G344" s="4" t="s">
        <v>59</v>
      </c>
      <c r="H344" s="4" t="s">
        <v>58</v>
      </c>
      <c r="I344" s="5">
        <v>10</v>
      </c>
      <c r="J344" s="3">
        <v>4600</v>
      </c>
      <c r="K344" s="3">
        <f t="shared" si="28"/>
        <v>460</v>
      </c>
      <c r="L344" s="3">
        <v>135</v>
      </c>
      <c r="M344" s="5">
        <v>38.299999999999997</v>
      </c>
      <c r="N344" s="5">
        <f t="shared" si="29"/>
        <v>3.8299999999999996</v>
      </c>
      <c r="O344" s="5">
        <f t="shared" si="30"/>
        <v>16.652173913043477</v>
      </c>
      <c r="P344" s="8">
        <v>37898</v>
      </c>
      <c r="Q344" s="6">
        <v>27.2</v>
      </c>
      <c r="R344" s="5">
        <v>3.62</v>
      </c>
      <c r="S344" s="6">
        <v>8.6999999999999993</v>
      </c>
      <c r="T344" s="3"/>
    </row>
    <row r="345" spans="1:20" s="4" customFormat="1" ht="15" customHeight="1" x14ac:dyDescent="0.2">
      <c r="A345" s="4">
        <v>2004</v>
      </c>
      <c r="B345" s="4" t="s">
        <v>115</v>
      </c>
      <c r="C345" s="4">
        <v>1</v>
      </c>
      <c r="D345" s="4">
        <v>5</v>
      </c>
      <c r="E345" s="4" t="s">
        <v>114</v>
      </c>
      <c r="F345" s="4" t="s">
        <v>36</v>
      </c>
      <c r="G345" s="4" t="s">
        <v>59</v>
      </c>
      <c r="H345" s="4" t="s">
        <v>58</v>
      </c>
      <c r="I345" s="5">
        <v>10</v>
      </c>
      <c r="J345" s="3">
        <v>4600</v>
      </c>
      <c r="K345" s="3">
        <f t="shared" si="28"/>
        <v>460</v>
      </c>
      <c r="L345" s="3">
        <v>100</v>
      </c>
      <c r="M345" s="5">
        <v>39.200000000000003</v>
      </c>
      <c r="N345" s="5">
        <f t="shared" si="29"/>
        <v>3.9200000000000004</v>
      </c>
      <c r="O345" s="5">
        <f t="shared" si="30"/>
        <v>17.043478260869566</v>
      </c>
      <c r="P345" s="8">
        <v>38255</v>
      </c>
      <c r="Q345" s="6">
        <v>24</v>
      </c>
      <c r="R345" s="5">
        <v>3.47</v>
      </c>
      <c r="S345" s="6">
        <v>9.3000000000000007</v>
      </c>
      <c r="T345" s="3"/>
    </row>
    <row r="346" spans="1:20" s="4" customFormat="1" ht="15" customHeight="1" x14ac:dyDescent="0.2">
      <c r="A346" s="4">
        <v>2005</v>
      </c>
      <c r="B346" s="4" t="s">
        <v>115</v>
      </c>
      <c r="C346" s="4">
        <v>1</v>
      </c>
      <c r="D346" s="4">
        <v>5</v>
      </c>
      <c r="E346" s="4" t="s">
        <v>114</v>
      </c>
      <c r="F346" s="4" t="s">
        <v>36</v>
      </c>
      <c r="G346" s="4" t="s">
        <v>59</v>
      </c>
      <c r="H346" s="4" t="s">
        <v>58</v>
      </c>
      <c r="I346" s="5">
        <v>10</v>
      </c>
      <c r="J346" s="3">
        <v>4600</v>
      </c>
      <c r="K346" s="3">
        <f t="shared" si="28"/>
        <v>460</v>
      </c>
      <c r="L346" s="3">
        <v>102</v>
      </c>
      <c r="M346" s="5">
        <v>41.9</v>
      </c>
      <c r="N346" s="5">
        <f t="shared" si="29"/>
        <v>4.1899999999999995</v>
      </c>
      <c r="O346" s="5">
        <f t="shared" si="30"/>
        <v>18.217391304347824</v>
      </c>
      <c r="P346" s="8">
        <v>38634</v>
      </c>
      <c r="Q346" s="6">
        <v>25.2</v>
      </c>
      <c r="R346" s="5">
        <v>3.58</v>
      </c>
      <c r="S346" s="6">
        <v>7.8</v>
      </c>
      <c r="T346" s="3"/>
    </row>
    <row r="347" spans="1:20" s="4" customFormat="1" ht="15" customHeight="1" x14ac:dyDescent="0.2">
      <c r="A347" s="4">
        <v>2006</v>
      </c>
      <c r="B347" s="4" t="s">
        <v>115</v>
      </c>
      <c r="C347" s="4">
        <v>1</v>
      </c>
      <c r="D347" s="4">
        <v>5</v>
      </c>
      <c r="E347" s="4" t="s">
        <v>114</v>
      </c>
      <c r="F347" s="4" t="s">
        <v>36</v>
      </c>
      <c r="G347" s="4" t="s">
        <v>59</v>
      </c>
      <c r="H347" s="4" t="s">
        <v>58</v>
      </c>
      <c r="I347" s="5">
        <v>10</v>
      </c>
      <c r="J347" s="3">
        <v>4600</v>
      </c>
      <c r="K347" s="3">
        <f t="shared" si="28"/>
        <v>460</v>
      </c>
      <c r="L347" s="3">
        <v>80</v>
      </c>
      <c r="M347" s="5"/>
      <c r="N347" s="5"/>
      <c r="O347" s="5">
        <f t="shared" si="30"/>
        <v>0</v>
      </c>
      <c r="P347" s="8">
        <v>38991</v>
      </c>
      <c r="Q347" s="6">
        <v>26.2</v>
      </c>
      <c r="R347" s="5">
        <v>3.6</v>
      </c>
      <c r="S347" s="6">
        <v>7.2</v>
      </c>
      <c r="T347" s="3"/>
    </row>
    <row r="348" spans="1:20" s="4" customFormat="1" ht="15" customHeight="1" x14ac:dyDescent="0.2">
      <c r="A348" s="4">
        <v>2007</v>
      </c>
      <c r="B348" s="4" t="s">
        <v>115</v>
      </c>
      <c r="C348" s="4">
        <v>1</v>
      </c>
      <c r="D348" s="4">
        <v>5</v>
      </c>
      <c r="E348" s="4" t="s">
        <v>114</v>
      </c>
      <c r="F348" s="4" t="s">
        <v>36</v>
      </c>
      <c r="G348" s="4" t="s">
        <v>59</v>
      </c>
      <c r="H348" s="4" t="s">
        <v>58</v>
      </c>
      <c r="I348" s="5">
        <v>10</v>
      </c>
      <c r="J348" s="3">
        <v>4600</v>
      </c>
      <c r="K348" s="3">
        <f t="shared" si="28"/>
        <v>460</v>
      </c>
      <c r="L348" s="3">
        <v>80</v>
      </c>
      <c r="M348" s="5">
        <v>38.1</v>
      </c>
      <c r="N348" s="5">
        <f>SUM(M348/I348)</f>
        <v>3.81</v>
      </c>
      <c r="O348" s="5">
        <f t="shared" si="30"/>
        <v>16.565217391304348</v>
      </c>
      <c r="P348" s="8">
        <v>38991</v>
      </c>
      <c r="Q348" s="6">
        <v>26.6</v>
      </c>
      <c r="R348" s="5">
        <v>3.72</v>
      </c>
      <c r="S348" s="6">
        <v>7.4</v>
      </c>
      <c r="T348" s="3"/>
    </row>
    <row r="349" spans="1:20" s="4" customFormat="1" ht="15" customHeight="1" x14ac:dyDescent="0.2">
      <c r="A349" s="4">
        <v>2008</v>
      </c>
      <c r="B349" s="4" t="s">
        <v>115</v>
      </c>
      <c r="C349" s="4">
        <v>1</v>
      </c>
      <c r="D349" s="4">
        <v>1</v>
      </c>
      <c r="E349" s="4" t="s">
        <v>114</v>
      </c>
      <c r="F349" s="4" t="s">
        <v>36</v>
      </c>
      <c r="G349" s="4">
        <v>2006</v>
      </c>
      <c r="H349" s="4" t="s">
        <v>61</v>
      </c>
      <c r="I349" s="5">
        <v>0.2</v>
      </c>
      <c r="J349" s="3">
        <v>300</v>
      </c>
      <c r="K349" s="3">
        <f>(J349/I349)</f>
        <v>1500</v>
      </c>
      <c r="L349" s="3">
        <v>130</v>
      </c>
      <c r="M349" s="5">
        <v>13.2</v>
      </c>
      <c r="N349" s="5">
        <f>(M349/I349)</f>
        <v>65.999999999999986</v>
      </c>
      <c r="O349" s="5">
        <f t="shared" si="30"/>
        <v>88</v>
      </c>
      <c r="P349" s="8">
        <v>39727</v>
      </c>
      <c r="Q349" s="6">
        <v>25.2</v>
      </c>
      <c r="R349" s="5">
        <v>3.78</v>
      </c>
      <c r="S349" s="6">
        <v>11.4</v>
      </c>
      <c r="T349" s="3"/>
    </row>
    <row r="350" spans="1:20" s="4" customFormat="1" ht="15" customHeight="1" x14ac:dyDescent="0.2">
      <c r="A350" s="4">
        <v>2008</v>
      </c>
      <c r="B350" s="4" t="s">
        <v>115</v>
      </c>
      <c r="C350" s="4">
        <v>1</v>
      </c>
      <c r="D350" s="4">
        <v>4</v>
      </c>
      <c r="E350" s="4" t="s">
        <v>114</v>
      </c>
      <c r="F350" s="4" t="s">
        <v>36</v>
      </c>
      <c r="G350" s="4">
        <v>2006</v>
      </c>
      <c r="H350" s="4" t="s">
        <v>34</v>
      </c>
      <c r="I350" s="5">
        <v>2.95</v>
      </c>
      <c r="J350" s="3">
        <v>2926</v>
      </c>
      <c r="K350" s="3">
        <v>975</v>
      </c>
      <c r="L350" s="3">
        <v>105</v>
      </c>
      <c r="M350" s="5">
        <v>13.2</v>
      </c>
      <c r="N350" s="5">
        <f>(M350/I350)</f>
        <v>4.4745762711864403</v>
      </c>
      <c r="O350" s="5">
        <f t="shared" si="30"/>
        <v>9.022556390977444</v>
      </c>
      <c r="P350" s="8">
        <v>39727</v>
      </c>
      <c r="Q350" s="6">
        <v>25</v>
      </c>
      <c r="R350" s="5">
        <v>3.66</v>
      </c>
      <c r="S350" s="6">
        <v>11.25</v>
      </c>
      <c r="T350" s="3"/>
    </row>
    <row r="351" spans="1:20" s="4" customFormat="1" ht="15" customHeight="1" x14ac:dyDescent="0.2">
      <c r="A351" s="4">
        <v>2008</v>
      </c>
      <c r="B351" s="4" t="s">
        <v>115</v>
      </c>
      <c r="C351" s="4">
        <v>1</v>
      </c>
      <c r="D351" s="4">
        <v>5</v>
      </c>
      <c r="E351" s="4" t="s">
        <v>114</v>
      </c>
      <c r="F351" s="4" t="s">
        <v>36</v>
      </c>
      <c r="G351" s="4" t="s">
        <v>59</v>
      </c>
      <c r="H351" s="4" t="s">
        <v>58</v>
      </c>
      <c r="I351" s="5">
        <v>10</v>
      </c>
      <c r="J351" s="3">
        <v>4600</v>
      </c>
      <c r="K351" s="3">
        <f>SUM(J351/I351)</f>
        <v>460</v>
      </c>
      <c r="L351" s="3">
        <v>105</v>
      </c>
      <c r="M351" s="5">
        <v>13.2</v>
      </c>
      <c r="N351" s="5">
        <f>SUM(M351/I351)</f>
        <v>1.3199999999999998</v>
      </c>
      <c r="O351" s="5">
        <f t="shared" si="30"/>
        <v>5.7391304347826084</v>
      </c>
      <c r="P351" s="8">
        <v>39727</v>
      </c>
      <c r="Q351" s="6">
        <v>25</v>
      </c>
      <c r="R351" s="5">
        <v>3.76</v>
      </c>
      <c r="S351" s="6">
        <v>11.2</v>
      </c>
      <c r="T351" s="3"/>
    </row>
    <row r="352" spans="1:20" s="4" customFormat="1" ht="15" customHeight="1" x14ac:dyDescent="0.2">
      <c r="A352" s="4">
        <v>2009</v>
      </c>
      <c r="B352" s="4" t="s">
        <v>115</v>
      </c>
      <c r="C352" s="4">
        <v>1</v>
      </c>
      <c r="D352" s="4">
        <v>1</v>
      </c>
      <c r="E352" s="4" t="s">
        <v>114</v>
      </c>
      <c r="F352" s="4" t="s">
        <v>36</v>
      </c>
      <c r="G352" s="4">
        <v>2006</v>
      </c>
      <c r="H352" s="4" t="s">
        <v>61</v>
      </c>
      <c r="I352" s="5">
        <v>0.2</v>
      </c>
      <c r="J352" s="3">
        <v>300</v>
      </c>
      <c r="K352" s="3">
        <f>(J352/I352)</f>
        <v>1500</v>
      </c>
      <c r="L352" s="3"/>
      <c r="M352" s="5"/>
      <c r="N352" s="5">
        <f>(M352/I352)</f>
        <v>0</v>
      </c>
      <c r="O352" s="5">
        <f t="shared" si="30"/>
        <v>0</v>
      </c>
      <c r="P352" s="8"/>
      <c r="Q352" s="6"/>
      <c r="R352" s="5"/>
      <c r="S352" s="6"/>
      <c r="T352" s="3"/>
    </row>
    <row r="353" spans="1:20" s="4" customFormat="1" ht="15" customHeight="1" x14ac:dyDescent="0.2">
      <c r="A353" s="4">
        <v>2009</v>
      </c>
      <c r="B353" s="4" t="s">
        <v>115</v>
      </c>
      <c r="C353" s="4">
        <v>1</v>
      </c>
      <c r="D353" s="4">
        <v>4</v>
      </c>
      <c r="E353" s="4" t="s">
        <v>114</v>
      </c>
      <c r="F353" s="4" t="s">
        <v>36</v>
      </c>
      <c r="G353" s="4">
        <v>2006</v>
      </c>
      <c r="H353" s="4" t="s">
        <v>34</v>
      </c>
      <c r="I353" s="5">
        <v>2.95</v>
      </c>
      <c r="J353" s="3">
        <v>2926</v>
      </c>
      <c r="K353" s="3">
        <v>975</v>
      </c>
      <c r="L353" s="3">
        <v>245</v>
      </c>
      <c r="M353" s="5">
        <v>41.8</v>
      </c>
      <c r="N353" s="5">
        <f>(M353/I353)</f>
        <v>14.169491525423727</v>
      </c>
      <c r="O353" s="5">
        <f t="shared" si="30"/>
        <v>28.571428571428573</v>
      </c>
      <c r="P353" s="8">
        <v>40090</v>
      </c>
      <c r="Q353" s="6">
        <v>27</v>
      </c>
      <c r="R353" s="5">
        <v>3.98</v>
      </c>
      <c r="S353" s="6">
        <v>7.4</v>
      </c>
      <c r="T353" s="3"/>
    </row>
    <row r="354" spans="1:20" s="4" customFormat="1" ht="15" customHeight="1" x14ac:dyDescent="0.2">
      <c r="A354" s="4">
        <v>2009</v>
      </c>
      <c r="B354" s="4" t="s">
        <v>115</v>
      </c>
      <c r="C354" s="4">
        <v>1</v>
      </c>
      <c r="D354" s="4">
        <v>5</v>
      </c>
      <c r="E354" s="4" t="s">
        <v>114</v>
      </c>
      <c r="F354" s="4" t="s">
        <v>36</v>
      </c>
      <c r="G354" s="4" t="s">
        <v>59</v>
      </c>
      <c r="H354" s="4" t="s">
        <v>58</v>
      </c>
      <c r="I354" s="5">
        <v>10</v>
      </c>
      <c r="J354" s="3">
        <v>4600</v>
      </c>
      <c r="K354" s="3">
        <f>SUM(J354/I354)</f>
        <v>460</v>
      </c>
      <c r="L354" s="3">
        <v>80</v>
      </c>
      <c r="M354" s="5"/>
      <c r="N354" s="5">
        <f>SUM(M354/I354)</f>
        <v>0</v>
      </c>
      <c r="O354" s="5">
        <f t="shared" si="30"/>
        <v>0</v>
      </c>
      <c r="P354" s="8"/>
      <c r="Q354" s="6"/>
      <c r="R354" s="5"/>
      <c r="S354" s="6"/>
      <c r="T354" s="3"/>
    </row>
    <row r="355" spans="1:20" s="4" customFormat="1" ht="15" customHeight="1" x14ac:dyDescent="0.2">
      <c r="A355" s="4">
        <v>2010</v>
      </c>
      <c r="B355" s="4" t="s">
        <v>115</v>
      </c>
      <c r="C355" s="4">
        <v>1</v>
      </c>
      <c r="D355" s="4">
        <v>1</v>
      </c>
      <c r="E355" s="4" t="s">
        <v>114</v>
      </c>
      <c r="F355" s="4" t="s">
        <v>36</v>
      </c>
      <c r="G355" s="4">
        <v>2006</v>
      </c>
      <c r="H355" s="4" t="s">
        <v>61</v>
      </c>
      <c r="I355" s="5">
        <v>0.2</v>
      </c>
      <c r="J355" s="3">
        <v>300</v>
      </c>
      <c r="K355" s="3">
        <v>1500</v>
      </c>
      <c r="L355" s="3"/>
      <c r="M355" s="5"/>
      <c r="N355" s="5">
        <f>(M355/I355)</f>
        <v>0</v>
      </c>
      <c r="O355" s="5">
        <f t="shared" si="30"/>
        <v>0</v>
      </c>
      <c r="P355" s="8"/>
      <c r="Q355" s="6"/>
      <c r="R355" s="5"/>
      <c r="S355" s="6"/>
      <c r="T355" s="3"/>
    </row>
    <row r="356" spans="1:20" s="4" customFormat="1" ht="15" customHeight="1" x14ac:dyDescent="0.2">
      <c r="A356" s="4">
        <v>2010</v>
      </c>
      <c r="B356" s="4" t="s">
        <v>115</v>
      </c>
      <c r="C356" s="4">
        <v>1</v>
      </c>
      <c r="D356" s="4">
        <v>4</v>
      </c>
      <c r="E356" s="4" t="s">
        <v>114</v>
      </c>
      <c r="F356" s="4" t="s">
        <v>36</v>
      </c>
      <c r="G356" s="4">
        <v>2006</v>
      </c>
      <c r="H356" s="4" t="s">
        <v>34</v>
      </c>
      <c r="I356" s="5">
        <v>2.95</v>
      </c>
      <c r="J356" s="3">
        <v>2926</v>
      </c>
      <c r="K356" s="3">
        <v>975</v>
      </c>
      <c r="L356" s="3">
        <v>80</v>
      </c>
      <c r="M356" s="5">
        <v>29.7</v>
      </c>
      <c r="N356" s="5">
        <f>(M356/I356)</f>
        <v>10.067796610169491</v>
      </c>
      <c r="O356" s="5">
        <f t="shared" si="30"/>
        <v>20.300751879699249</v>
      </c>
      <c r="P356" s="8">
        <v>40461</v>
      </c>
      <c r="Q356" s="6">
        <v>26.2</v>
      </c>
      <c r="R356" s="5">
        <v>3.59</v>
      </c>
      <c r="S356" s="6">
        <v>8.9</v>
      </c>
      <c r="T356" s="3"/>
    </row>
    <row r="357" spans="1:20" s="4" customFormat="1" ht="15" customHeight="1" x14ac:dyDescent="0.2">
      <c r="A357" s="4">
        <v>2010</v>
      </c>
      <c r="B357" s="4" t="s">
        <v>115</v>
      </c>
      <c r="C357" s="4">
        <v>1</v>
      </c>
      <c r="D357" s="4">
        <v>5</v>
      </c>
      <c r="E357" s="4" t="s">
        <v>114</v>
      </c>
      <c r="F357" s="4" t="s">
        <v>36</v>
      </c>
      <c r="G357" s="4" t="s">
        <v>59</v>
      </c>
      <c r="H357" s="4" t="s">
        <v>58</v>
      </c>
      <c r="I357" s="5">
        <v>10</v>
      </c>
      <c r="J357" s="3">
        <v>4600</v>
      </c>
      <c r="K357" s="3">
        <f>SUM(J357/I357)</f>
        <v>460</v>
      </c>
      <c r="L357" s="3"/>
      <c r="M357" s="5"/>
      <c r="N357" s="5">
        <f>SUM(M357/I357)</f>
        <v>0</v>
      </c>
      <c r="O357" s="5">
        <f t="shared" si="30"/>
        <v>0</v>
      </c>
      <c r="P357" s="8"/>
      <c r="Q357" s="6"/>
      <c r="R357" s="5"/>
      <c r="S357" s="6"/>
      <c r="T357" s="3"/>
    </row>
    <row r="358" spans="1:20" s="4" customFormat="1" ht="15" customHeight="1" x14ac:dyDescent="0.2">
      <c r="A358" s="4">
        <v>2011</v>
      </c>
      <c r="B358" s="4" t="s">
        <v>115</v>
      </c>
      <c r="C358" s="4">
        <v>1</v>
      </c>
      <c r="D358" s="4">
        <v>1</v>
      </c>
      <c r="E358" s="4" t="s">
        <v>114</v>
      </c>
      <c r="F358" s="4" t="s">
        <v>36</v>
      </c>
      <c r="G358" s="4">
        <v>2006</v>
      </c>
      <c r="H358" s="4" t="s">
        <v>61</v>
      </c>
      <c r="I358" s="5">
        <v>0.2</v>
      </c>
      <c r="J358" s="3">
        <v>300</v>
      </c>
      <c r="K358" s="3">
        <v>1500</v>
      </c>
      <c r="L358" s="3">
        <v>155</v>
      </c>
      <c r="M358" s="5">
        <v>80.67</v>
      </c>
      <c r="N358" s="5">
        <f>(M358/I358)</f>
        <v>403.34999999999997</v>
      </c>
      <c r="O358" s="5">
        <f t="shared" si="30"/>
        <v>537.79999999999995</v>
      </c>
      <c r="P358" s="8">
        <v>40824</v>
      </c>
      <c r="Q358" s="6"/>
      <c r="R358" s="5"/>
      <c r="S358" s="6"/>
      <c r="T358" s="3"/>
    </row>
    <row r="359" spans="1:20" s="4" customFormat="1" ht="15" customHeight="1" x14ac:dyDescent="0.2">
      <c r="A359" s="4">
        <v>2011</v>
      </c>
      <c r="B359" s="4" t="s">
        <v>115</v>
      </c>
      <c r="C359" s="4">
        <v>1</v>
      </c>
      <c r="D359" s="4">
        <v>4</v>
      </c>
      <c r="E359" s="4" t="s">
        <v>114</v>
      </c>
      <c r="F359" s="4" t="s">
        <v>36</v>
      </c>
      <c r="G359" s="4">
        <v>2006</v>
      </c>
      <c r="H359" s="4" t="s">
        <v>34</v>
      </c>
      <c r="I359" s="5">
        <v>2.95</v>
      </c>
      <c r="J359" s="3">
        <v>2926</v>
      </c>
      <c r="K359" s="3">
        <v>975</v>
      </c>
      <c r="L359" s="3"/>
      <c r="M359" s="5"/>
      <c r="N359" s="5">
        <f>(M359/I359)</f>
        <v>0</v>
      </c>
      <c r="O359" s="5">
        <f t="shared" si="30"/>
        <v>0</v>
      </c>
      <c r="P359" s="8"/>
      <c r="Q359" s="6"/>
      <c r="R359" s="5"/>
      <c r="S359" s="6"/>
      <c r="T359" s="3"/>
    </row>
    <row r="360" spans="1:20" s="4" customFormat="1" ht="15" customHeight="1" x14ac:dyDescent="0.2">
      <c r="A360" s="4">
        <v>2011</v>
      </c>
      <c r="B360" s="4" t="s">
        <v>115</v>
      </c>
      <c r="C360" s="4">
        <v>1</v>
      </c>
      <c r="D360" s="4">
        <v>5</v>
      </c>
      <c r="E360" s="4" t="s">
        <v>114</v>
      </c>
      <c r="F360" s="4" t="s">
        <v>36</v>
      </c>
      <c r="G360" s="4" t="s">
        <v>59</v>
      </c>
      <c r="H360" s="4" t="s">
        <v>58</v>
      </c>
      <c r="I360" s="5">
        <v>10</v>
      </c>
      <c r="J360" s="3">
        <v>4600</v>
      </c>
      <c r="K360" s="3">
        <f>SUM(J360/I360)</f>
        <v>460</v>
      </c>
      <c r="L360" s="3"/>
      <c r="M360" s="5"/>
      <c r="N360" s="5">
        <f>SUM(M360/I360)</f>
        <v>0</v>
      </c>
      <c r="O360" s="5">
        <f t="shared" si="30"/>
        <v>0</v>
      </c>
      <c r="P360" s="8"/>
      <c r="Q360" s="6"/>
      <c r="R360" s="5"/>
      <c r="S360" s="6"/>
      <c r="T360" s="3"/>
    </row>
    <row r="361" spans="1:20" s="4" customFormat="1" ht="15" customHeight="1" x14ac:dyDescent="0.2">
      <c r="A361" s="4">
        <v>2012</v>
      </c>
      <c r="B361" s="4" t="s">
        <v>115</v>
      </c>
      <c r="C361" s="4">
        <v>1</v>
      </c>
      <c r="D361" s="4">
        <v>1</v>
      </c>
      <c r="E361" s="4" t="s">
        <v>114</v>
      </c>
      <c r="F361" s="4" t="s">
        <v>36</v>
      </c>
      <c r="G361" s="4">
        <v>2006</v>
      </c>
      <c r="H361" s="4" t="s">
        <v>61</v>
      </c>
      <c r="I361" s="5">
        <v>0.2</v>
      </c>
      <c r="J361" s="3">
        <v>300</v>
      </c>
      <c r="K361" s="3">
        <v>1500</v>
      </c>
      <c r="L361" s="3">
        <v>100</v>
      </c>
      <c r="M361" s="5">
        <f>47.07+0.8</f>
        <v>47.87</v>
      </c>
      <c r="N361" s="5">
        <f>(M361/I361)</f>
        <v>239.34999999999997</v>
      </c>
      <c r="O361" s="5">
        <f t="shared" si="30"/>
        <v>319.13333333333333</v>
      </c>
      <c r="P361" s="8">
        <v>41183</v>
      </c>
      <c r="Q361" s="6">
        <f>(26.6+26.6+26.6+26.4)/4</f>
        <v>26.550000000000004</v>
      </c>
      <c r="R361" s="5">
        <f>(3.68+3.69+3.72+3.65)/4</f>
        <v>3.6850000000000001</v>
      </c>
      <c r="S361" s="6">
        <f>(8.5+7.9+8+8.3)/4</f>
        <v>8.1750000000000007</v>
      </c>
      <c r="T361" s="3"/>
    </row>
    <row r="362" spans="1:20" s="4" customFormat="1" ht="15" customHeight="1" x14ac:dyDescent="0.2">
      <c r="A362" s="4">
        <v>2012</v>
      </c>
      <c r="B362" s="4" t="s">
        <v>115</v>
      </c>
      <c r="C362" s="4">
        <v>1</v>
      </c>
      <c r="D362" s="4">
        <v>4</v>
      </c>
      <c r="E362" s="4" t="s">
        <v>114</v>
      </c>
      <c r="F362" s="4" t="s">
        <v>36</v>
      </c>
      <c r="G362" s="4">
        <v>2006</v>
      </c>
      <c r="H362" s="4" t="s">
        <v>34</v>
      </c>
      <c r="I362" s="5">
        <v>2.95</v>
      </c>
      <c r="J362" s="3">
        <v>2926</v>
      </c>
      <c r="K362" s="3">
        <v>975</v>
      </c>
      <c r="L362" s="3"/>
      <c r="M362" s="5"/>
      <c r="N362" s="5">
        <f>(M362/I362)</f>
        <v>0</v>
      </c>
      <c r="O362" s="5">
        <f t="shared" si="30"/>
        <v>0</v>
      </c>
      <c r="P362" s="8"/>
      <c r="Q362" s="6"/>
      <c r="R362" s="5"/>
      <c r="S362" s="6"/>
      <c r="T362" s="3"/>
    </row>
    <row r="363" spans="1:20" s="4" customFormat="1" ht="15" customHeight="1" x14ac:dyDescent="0.2">
      <c r="A363" s="4">
        <v>2012</v>
      </c>
      <c r="B363" s="4" t="s">
        <v>115</v>
      </c>
      <c r="C363" s="4">
        <v>1</v>
      </c>
      <c r="D363" s="4">
        <v>5</v>
      </c>
      <c r="E363" s="4" t="s">
        <v>114</v>
      </c>
      <c r="F363" s="4" t="s">
        <v>36</v>
      </c>
      <c r="G363" s="4" t="s">
        <v>59</v>
      </c>
      <c r="H363" s="4" t="s">
        <v>58</v>
      </c>
      <c r="I363" s="5">
        <v>10</v>
      </c>
      <c r="J363" s="3">
        <v>4600</v>
      </c>
      <c r="K363" s="3">
        <f t="shared" ref="K363:K394" si="31">SUM(J363/I363)</f>
        <v>460</v>
      </c>
      <c r="L363" s="3"/>
      <c r="M363" s="5"/>
      <c r="N363" s="5">
        <f>SUM(M363/I363)</f>
        <v>0</v>
      </c>
      <c r="O363" s="5">
        <f t="shared" si="30"/>
        <v>0</v>
      </c>
      <c r="P363" s="8"/>
      <c r="Q363" s="6"/>
      <c r="R363" s="5"/>
      <c r="S363" s="6"/>
      <c r="T363" s="3"/>
    </row>
    <row r="364" spans="1:20" s="4" customFormat="1" ht="15" customHeight="1" x14ac:dyDescent="0.2">
      <c r="A364" s="4">
        <v>2000</v>
      </c>
      <c r="B364" s="4" t="s">
        <v>91</v>
      </c>
      <c r="C364" s="4">
        <v>3</v>
      </c>
      <c r="D364" s="4">
        <v>2</v>
      </c>
      <c r="E364" s="4" t="s">
        <v>114</v>
      </c>
      <c r="F364" s="4" t="s">
        <v>36</v>
      </c>
      <c r="G364" s="4">
        <v>1965</v>
      </c>
      <c r="H364" s="4" t="s">
        <v>37</v>
      </c>
      <c r="I364" s="5">
        <v>1.25</v>
      </c>
      <c r="J364" s="3">
        <v>780</v>
      </c>
      <c r="K364" s="3">
        <f t="shared" si="31"/>
        <v>624</v>
      </c>
      <c r="L364" s="3">
        <v>103</v>
      </c>
      <c r="M364" s="5">
        <v>4.3734999999999999</v>
      </c>
      <c r="N364" s="5">
        <f>SUM(M364)/I364</f>
        <v>3.4988000000000001</v>
      </c>
      <c r="O364" s="5">
        <f t="shared" si="30"/>
        <v>11.214102564102564</v>
      </c>
      <c r="P364" s="8">
        <v>36815</v>
      </c>
      <c r="Q364" s="6">
        <v>25.2</v>
      </c>
      <c r="R364" s="5">
        <v>3.3</v>
      </c>
      <c r="S364" s="6">
        <v>10.5</v>
      </c>
      <c r="T364" s="3"/>
    </row>
    <row r="365" spans="1:20" s="4" customFormat="1" ht="15" customHeight="1" x14ac:dyDescent="0.2">
      <c r="A365" s="4">
        <v>2000</v>
      </c>
      <c r="B365" s="4" t="s">
        <v>91</v>
      </c>
      <c r="C365" s="4">
        <v>4</v>
      </c>
      <c r="D365" s="4">
        <v>4</v>
      </c>
      <c r="E365" s="4" t="s">
        <v>114</v>
      </c>
      <c r="F365" s="4" t="s">
        <v>36</v>
      </c>
      <c r="G365" s="4">
        <v>1965</v>
      </c>
      <c r="H365" s="4" t="s">
        <v>37</v>
      </c>
      <c r="I365" s="5">
        <v>0.88</v>
      </c>
      <c r="J365" s="3">
        <v>550</v>
      </c>
      <c r="K365" s="3">
        <f t="shared" si="31"/>
        <v>625</v>
      </c>
      <c r="L365" s="3">
        <v>91</v>
      </c>
      <c r="M365" s="5">
        <v>8.5694999999999997</v>
      </c>
      <c r="N365" s="5">
        <f>SUM(M365)/(I365)</f>
        <v>9.738068181818182</v>
      </c>
      <c r="O365" s="5">
        <f>SUM(M365*2000)/(J365)</f>
        <v>31.16181818181818</v>
      </c>
      <c r="P365" s="8">
        <v>36818</v>
      </c>
      <c r="Q365" s="6">
        <v>25.6</v>
      </c>
      <c r="R365" s="5">
        <v>3.25</v>
      </c>
      <c r="S365" s="6">
        <v>11.6</v>
      </c>
      <c r="T365" s="3"/>
    </row>
    <row r="366" spans="1:20" s="4" customFormat="1" ht="15" customHeight="1" x14ac:dyDescent="0.2">
      <c r="A366" s="4">
        <v>2000</v>
      </c>
      <c r="B366" s="4" t="s">
        <v>91</v>
      </c>
      <c r="C366" s="4">
        <v>4</v>
      </c>
      <c r="D366" s="4">
        <v>5</v>
      </c>
      <c r="E366" s="4" t="s">
        <v>114</v>
      </c>
      <c r="F366" s="4" t="s">
        <v>36</v>
      </c>
      <c r="G366" s="4">
        <v>1997</v>
      </c>
      <c r="I366" s="5">
        <v>1.83</v>
      </c>
      <c r="J366" s="3">
        <v>1515</v>
      </c>
      <c r="K366" s="3">
        <f t="shared" si="31"/>
        <v>827.86885245901635</v>
      </c>
      <c r="L366" s="3"/>
      <c r="M366" s="5"/>
      <c r="N366" s="5"/>
      <c r="O366" s="5"/>
      <c r="Q366" s="6"/>
      <c r="R366" s="5"/>
      <c r="S366" s="6"/>
      <c r="T366" s="3"/>
    </row>
    <row r="367" spans="1:20" s="4" customFormat="1" ht="15" customHeight="1" x14ac:dyDescent="0.2">
      <c r="A367" s="4">
        <v>2001</v>
      </c>
      <c r="B367" s="4" t="s">
        <v>91</v>
      </c>
      <c r="C367" s="4">
        <v>3</v>
      </c>
      <c r="D367" s="4">
        <v>2</v>
      </c>
      <c r="E367" s="4" t="s">
        <v>114</v>
      </c>
      <c r="F367" s="4" t="s">
        <v>36</v>
      </c>
      <c r="G367" s="4">
        <v>1965</v>
      </c>
      <c r="H367" s="4" t="s">
        <v>37</v>
      </c>
      <c r="I367" s="5">
        <v>1.25</v>
      </c>
      <c r="J367" s="3">
        <v>780</v>
      </c>
      <c r="K367" s="3">
        <f t="shared" si="31"/>
        <v>624</v>
      </c>
      <c r="L367" s="3">
        <v>95</v>
      </c>
      <c r="M367" s="5">
        <v>3.48</v>
      </c>
      <c r="N367" s="5">
        <f>SUM(M367)/I367</f>
        <v>2.7839999999999998</v>
      </c>
      <c r="O367" s="5">
        <f t="shared" ref="O367:O392" si="32">SUM(M367*2000)/J367</f>
        <v>8.9230769230769234</v>
      </c>
      <c r="P367" s="8">
        <v>37534</v>
      </c>
      <c r="Q367" s="6">
        <v>27.6</v>
      </c>
      <c r="R367" s="5">
        <v>3.48</v>
      </c>
      <c r="S367" s="6">
        <v>9</v>
      </c>
      <c r="T367" s="3"/>
    </row>
    <row r="368" spans="1:20" s="4" customFormat="1" ht="15" customHeight="1" x14ac:dyDescent="0.2">
      <c r="A368" s="4">
        <v>2001</v>
      </c>
      <c r="B368" s="4" t="s">
        <v>91</v>
      </c>
      <c r="C368" s="4">
        <v>4</v>
      </c>
      <c r="D368" s="4">
        <v>4</v>
      </c>
      <c r="E368" s="4" t="s">
        <v>114</v>
      </c>
      <c r="F368" s="4" t="s">
        <v>36</v>
      </c>
      <c r="G368" s="4">
        <v>1965</v>
      </c>
      <c r="H368" s="4" t="s">
        <v>37</v>
      </c>
      <c r="I368" s="5">
        <v>0.88</v>
      </c>
      <c r="J368" s="3">
        <v>550</v>
      </c>
      <c r="K368" s="3">
        <f t="shared" si="31"/>
        <v>625</v>
      </c>
      <c r="L368" s="3">
        <v>103</v>
      </c>
      <c r="M368" s="5">
        <v>3.91</v>
      </c>
      <c r="N368" s="5" t="e">
        <f>SUM(M368)/(I368+#REF!+I382)</f>
        <v>#REF!</v>
      </c>
      <c r="O368" s="5">
        <f t="shared" si="32"/>
        <v>14.218181818181819</v>
      </c>
      <c r="P368" s="8">
        <v>37534</v>
      </c>
      <c r="Q368" s="6">
        <v>27</v>
      </c>
      <c r="R368" s="5">
        <v>3.38</v>
      </c>
      <c r="S368" s="6">
        <v>9.5</v>
      </c>
      <c r="T368" s="3"/>
    </row>
    <row r="369" spans="1:20" s="4" customFormat="1" ht="15" customHeight="1" x14ac:dyDescent="0.2">
      <c r="A369" s="4">
        <v>2001</v>
      </c>
      <c r="B369" s="4" t="s">
        <v>91</v>
      </c>
      <c r="C369" s="4">
        <v>4</v>
      </c>
      <c r="D369" s="4">
        <v>5</v>
      </c>
      <c r="E369" s="4" t="s">
        <v>114</v>
      </c>
      <c r="F369" s="4" t="s">
        <v>36</v>
      </c>
      <c r="G369" s="4">
        <v>1997</v>
      </c>
      <c r="I369" s="5">
        <v>1.83</v>
      </c>
      <c r="J369" s="3">
        <v>1515</v>
      </c>
      <c r="K369" s="3">
        <f t="shared" si="31"/>
        <v>827.86885245901635</v>
      </c>
      <c r="L369" s="3">
        <v>100</v>
      </c>
      <c r="M369" s="5">
        <v>4.01</v>
      </c>
      <c r="N369" s="5">
        <f>SUM(M369/I369)</f>
        <v>2.1912568306010929</v>
      </c>
      <c r="O369" s="5">
        <f t="shared" si="32"/>
        <v>5.2937293729372934</v>
      </c>
      <c r="P369" s="8">
        <v>37540</v>
      </c>
      <c r="Q369" s="6">
        <v>27</v>
      </c>
      <c r="R369" s="5">
        <v>3.69</v>
      </c>
      <c r="S369" s="6">
        <v>6.1</v>
      </c>
      <c r="T369" s="3"/>
    </row>
    <row r="370" spans="1:20" s="4" customFormat="1" ht="15" customHeight="1" x14ac:dyDescent="0.2">
      <c r="A370" s="4">
        <v>2002</v>
      </c>
      <c r="B370" s="4" t="s">
        <v>91</v>
      </c>
      <c r="C370" s="4">
        <v>3</v>
      </c>
      <c r="D370" s="4">
        <v>2</v>
      </c>
      <c r="E370" s="4" t="s">
        <v>114</v>
      </c>
      <c r="F370" s="4" t="s">
        <v>36</v>
      </c>
      <c r="G370" s="4">
        <v>1965</v>
      </c>
      <c r="H370" s="4" t="s">
        <v>37</v>
      </c>
      <c r="I370" s="5">
        <v>1.25</v>
      </c>
      <c r="J370" s="3">
        <v>780</v>
      </c>
      <c r="K370" s="3">
        <f t="shared" si="31"/>
        <v>624</v>
      </c>
      <c r="L370" s="3">
        <v>135</v>
      </c>
      <c r="M370" s="5">
        <v>3.03</v>
      </c>
      <c r="N370" s="5">
        <f>SUM(M370)/I370</f>
        <v>2.4239999999999999</v>
      </c>
      <c r="O370" s="5">
        <f t="shared" si="32"/>
        <v>7.7692307692307692</v>
      </c>
      <c r="P370" s="8">
        <v>37898</v>
      </c>
      <c r="Q370" s="6">
        <v>27.4</v>
      </c>
      <c r="R370" s="5">
        <v>3.57</v>
      </c>
      <c r="S370" s="6">
        <v>7.4</v>
      </c>
      <c r="T370" s="3"/>
    </row>
    <row r="371" spans="1:20" s="4" customFormat="1" ht="15" customHeight="1" x14ac:dyDescent="0.2">
      <c r="A371" s="4">
        <v>2002</v>
      </c>
      <c r="B371" s="4" t="s">
        <v>91</v>
      </c>
      <c r="C371" s="4">
        <v>4</v>
      </c>
      <c r="D371" s="4">
        <v>4</v>
      </c>
      <c r="E371" s="4" t="s">
        <v>114</v>
      </c>
      <c r="F371" s="4" t="s">
        <v>36</v>
      </c>
      <c r="G371" s="4">
        <v>1965</v>
      </c>
      <c r="H371" s="4" t="s">
        <v>37</v>
      </c>
      <c r="I371" s="5">
        <v>1.6</v>
      </c>
      <c r="J371" s="3">
        <v>550</v>
      </c>
      <c r="K371" s="3">
        <f t="shared" si="31"/>
        <v>343.75</v>
      </c>
      <c r="L371" s="3">
        <v>135</v>
      </c>
      <c r="M371" s="5">
        <v>4.84</v>
      </c>
      <c r="N371" s="5" t="e">
        <f>SUM(M371)/(I371+#REF!+I385)</f>
        <v>#REF!</v>
      </c>
      <c r="O371" s="5">
        <f t="shared" si="32"/>
        <v>17.600000000000001</v>
      </c>
      <c r="P371" s="8">
        <v>37898</v>
      </c>
      <c r="Q371" s="6">
        <v>27.4</v>
      </c>
      <c r="R371" s="5">
        <v>3.57</v>
      </c>
      <c r="S371" s="6">
        <v>7.4</v>
      </c>
      <c r="T371" s="3"/>
    </row>
    <row r="372" spans="1:20" s="4" customFormat="1" ht="15" customHeight="1" x14ac:dyDescent="0.2">
      <c r="A372" s="4">
        <v>2002</v>
      </c>
      <c r="B372" s="4" t="s">
        <v>91</v>
      </c>
      <c r="C372" s="4">
        <v>4</v>
      </c>
      <c r="D372" s="4">
        <v>5</v>
      </c>
      <c r="E372" s="4" t="s">
        <v>114</v>
      </c>
      <c r="F372" s="4" t="s">
        <v>36</v>
      </c>
      <c r="G372" s="4">
        <v>1997</v>
      </c>
      <c r="I372" s="5">
        <v>1.83</v>
      </c>
      <c r="J372" s="3">
        <v>1515</v>
      </c>
      <c r="K372" s="3">
        <f t="shared" si="31"/>
        <v>827.86885245901635</v>
      </c>
      <c r="L372" s="3"/>
      <c r="M372" s="5">
        <v>9.8800000000000008</v>
      </c>
      <c r="N372" s="5">
        <f>SUM(M372/I372)</f>
        <v>5.3989071038251364</v>
      </c>
      <c r="O372" s="5">
        <f t="shared" si="32"/>
        <v>13.042904290429043</v>
      </c>
      <c r="Q372" s="6"/>
      <c r="R372" s="5"/>
      <c r="S372" s="6"/>
      <c r="T372" s="3"/>
    </row>
    <row r="373" spans="1:20" s="4" customFormat="1" ht="15" customHeight="1" x14ac:dyDescent="0.2">
      <c r="A373" s="4">
        <v>2003</v>
      </c>
      <c r="B373" s="4" t="s">
        <v>91</v>
      </c>
      <c r="C373" s="4">
        <v>3</v>
      </c>
      <c r="D373" s="4">
        <v>2</v>
      </c>
      <c r="E373" s="4" t="s">
        <v>114</v>
      </c>
      <c r="F373" s="4" t="s">
        <v>36</v>
      </c>
      <c r="G373" s="4">
        <v>1965</v>
      </c>
      <c r="H373" s="4" t="s">
        <v>37</v>
      </c>
      <c r="I373" s="5">
        <v>1.25</v>
      </c>
      <c r="J373" s="3">
        <v>780</v>
      </c>
      <c r="K373" s="3">
        <f t="shared" si="31"/>
        <v>624</v>
      </c>
      <c r="L373" s="3">
        <v>93.3</v>
      </c>
      <c r="M373" s="5">
        <v>2.14</v>
      </c>
      <c r="N373" s="5">
        <f>SUM(M373)/I373</f>
        <v>1.7120000000000002</v>
      </c>
      <c r="O373" s="5">
        <f t="shared" si="32"/>
        <v>5.4871794871794872</v>
      </c>
      <c r="P373" s="8">
        <v>37889</v>
      </c>
      <c r="Q373" s="6">
        <v>28</v>
      </c>
      <c r="R373" s="5">
        <v>3.64</v>
      </c>
      <c r="S373" s="6">
        <v>7.7</v>
      </c>
      <c r="T373" s="3"/>
    </row>
    <row r="374" spans="1:20" s="4" customFormat="1" ht="15" customHeight="1" x14ac:dyDescent="0.2">
      <c r="A374" s="4">
        <v>2003</v>
      </c>
      <c r="B374" s="4" t="s">
        <v>91</v>
      </c>
      <c r="C374" s="4">
        <v>4</v>
      </c>
      <c r="D374" s="4">
        <v>4</v>
      </c>
      <c r="E374" s="4" t="s">
        <v>114</v>
      </c>
      <c r="F374" s="4" t="s">
        <v>36</v>
      </c>
      <c r="G374" s="4">
        <v>1965</v>
      </c>
      <c r="H374" s="4" t="s">
        <v>37</v>
      </c>
      <c r="I374" s="5">
        <v>1.6</v>
      </c>
      <c r="J374" s="3">
        <v>550</v>
      </c>
      <c r="K374" s="3">
        <f t="shared" si="31"/>
        <v>343.75</v>
      </c>
      <c r="L374" s="3">
        <v>135</v>
      </c>
      <c r="M374" s="5">
        <v>5.2</v>
      </c>
      <c r="N374" s="5">
        <f>SUM(M374/I374)</f>
        <v>3.25</v>
      </c>
      <c r="O374" s="5">
        <f t="shared" si="32"/>
        <v>18.90909090909091</v>
      </c>
      <c r="P374" s="8">
        <v>37889</v>
      </c>
      <c r="Q374" s="6">
        <v>28</v>
      </c>
      <c r="R374" s="5">
        <v>3.64</v>
      </c>
      <c r="S374" s="6">
        <v>7.7</v>
      </c>
      <c r="T374" s="3"/>
    </row>
    <row r="375" spans="1:20" s="4" customFormat="1" ht="15" customHeight="1" x14ac:dyDescent="0.2">
      <c r="A375" s="4">
        <v>2004</v>
      </c>
      <c r="B375" s="4" t="s">
        <v>91</v>
      </c>
      <c r="C375" s="4">
        <v>3</v>
      </c>
      <c r="D375" s="4">
        <v>2</v>
      </c>
      <c r="E375" s="4" t="s">
        <v>114</v>
      </c>
      <c r="F375" s="4" t="s">
        <v>36</v>
      </c>
      <c r="G375" s="4">
        <v>1965</v>
      </c>
      <c r="H375" s="4" t="s">
        <v>37</v>
      </c>
      <c r="I375" s="5">
        <v>1.25</v>
      </c>
      <c r="J375" s="3">
        <v>780</v>
      </c>
      <c r="K375" s="3">
        <f t="shared" si="31"/>
        <v>624</v>
      </c>
      <c r="L375" s="3">
        <v>80</v>
      </c>
      <c r="M375" s="5">
        <v>2.8</v>
      </c>
      <c r="N375" s="5">
        <f>SUM(M375)/I375</f>
        <v>2.2399999999999998</v>
      </c>
      <c r="O375" s="5">
        <f t="shared" si="32"/>
        <v>7.1794871794871797</v>
      </c>
      <c r="P375" s="8">
        <v>38258</v>
      </c>
      <c r="Q375" s="6">
        <v>29.2</v>
      </c>
      <c r="R375" s="5">
        <v>3.73</v>
      </c>
      <c r="S375" s="6">
        <v>8.6999999999999993</v>
      </c>
      <c r="T375" s="3"/>
    </row>
    <row r="376" spans="1:20" s="4" customFormat="1" ht="15" customHeight="1" x14ac:dyDescent="0.2">
      <c r="A376" s="4">
        <v>2004</v>
      </c>
      <c r="B376" s="4" t="s">
        <v>91</v>
      </c>
      <c r="C376" s="4">
        <v>4</v>
      </c>
      <c r="D376" s="4">
        <v>4</v>
      </c>
      <c r="E376" s="4" t="s">
        <v>114</v>
      </c>
      <c r="F376" s="4" t="s">
        <v>36</v>
      </c>
      <c r="G376" s="4">
        <v>1965</v>
      </c>
      <c r="H376" s="4" t="s">
        <v>37</v>
      </c>
      <c r="I376" s="5">
        <v>1.6</v>
      </c>
      <c r="J376" s="3">
        <v>550</v>
      </c>
      <c r="K376" s="3">
        <f t="shared" si="31"/>
        <v>343.75</v>
      </c>
      <c r="L376" s="3">
        <v>117</v>
      </c>
      <c r="M376" s="5">
        <v>4.5999999999999996</v>
      </c>
      <c r="N376" s="5">
        <f>SUM(M376/I376)</f>
        <v>2.8749999999999996</v>
      </c>
      <c r="O376" s="5">
        <f t="shared" si="32"/>
        <v>16.727272727272727</v>
      </c>
      <c r="P376" s="8">
        <v>38258</v>
      </c>
      <c r="Q376" s="6">
        <v>27.4</v>
      </c>
      <c r="R376" s="5">
        <v>3.59</v>
      </c>
      <c r="S376" s="6">
        <v>7.8</v>
      </c>
      <c r="T376" s="3"/>
    </row>
    <row r="377" spans="1:20" s="4" customFormat="1" ht="15" customHeight="1" x14ac:dyDescent="0.2">
      <c r="A377" s="4">
        <v>2005</v>
      </c>
      <c r="B377" s="4" t="s">
        <v>91</v>
      </c>
      <c r="C377" s="4">
        <v>3</v>
      </c>
      <c r="D377" s="4">
        <v>2</v>
      </c>
      <c r="E377" s="4" t="s">
        <v>114</v>
      </c>
      <c r="F377" s="4" t="s">
        <v>36</v>
      </c>
      <c r="G377" s="4">
        <v>1965</v>
      </c>
      <c r="H377" s="4" t="s">
        <v>37</v>
      </c>
      <c r="I377" s="5">
        <v>1.25</v>
      </c>
      <c r="J377" s="3">
        <v>780</v>
      </c>
      <c r="K377" s="3">
        <f t="shared" si="31"/>
        <v>624</v>
      </c>
      <c r="L377" s="3">
        <v>68</v>
      </c>
      <c r="M377" s="5">
        <v>2.8</v>
      </c>
      <c r="N377" s="5">
        <f>SUM(M377)/I377</f>
        <v>2.2399999999999998</v>
      </c>
      <c r="O377" s="5">
        <f t="shared" si="32"/>
        <v>7.1794871794871797</v>
      </c>
      <c r="P377" s="8">
        <v>38258</v>
      </c>
      <c r="Q377" s="6">
        <v>29.4</v>
      </c>
      <c r="R377" s="5">
        <v>3.58</v>
      </c>
      <c r="S377" s="6">
        <v>8.1999999999999993</v>
      </c>
      <c r="T377" s="3"/>
    </row>
    <row r="378" spans="1:20" s="4" customFormat="1" ht="15" customHeight="1" x14ac:dyDescent="0.2">
      <c r="A378" s="4">
        <v>2005</v>
      </c>
      <c r="B378" s="4" t="s">
        <v>91</v>
      </c>
      <c r="C378" s="4">
        <v>4</v>
      </c>
      <c r="D378" s="4">
        <v>4</v>
      </c>
      <c r="E378" s="4" t="s">
        <v>114</v>
      </c>
      <c r="F378" s="4" t="s">
        <v>36</v>
      </c>
      <c r="G378" s="4">
        <v>1965</v>
      </c>
      <c r="H378" s="4" t="s">
        <v>37</v>
      </c>
      <c r="I378" s="5">
        <v>1.6</v>
      </c>
      <c r="J378" s="3">
        <v>550</v>
      </c>
      <c r="K378" s="3">
        <f t="shared" si="31"/>
        <v>343.75</v>
      </c>
      <c r="L378" s="3">
        <v>107</v>
      </c>
      <c r="M378" s="5">
        <v>7</v>
      </c>
      <c r="N378" s="5">
        <f>SUM(M378/I378)</f>
        <v>4.375</v>
      </c>
      <c r="O378" s="5">
        <f t="shared" si="32"/>
        <v>25.454545454545453</v>
      </c>
      <c r="P378" s="8">
        <v>38258</v>
      </c>
      <c r="Q378" s="6">
        <v>29.4</v>
      </c>
      <c r="R378" s="5">
        <v>3.58</v>
      </c>
      <c r="S378" s="6">
        <v>8.1999999999999993</v>
      </c>
      <c r="T378" s="3"/>
    </row>
    <row r="379" spans="1:20" s="4" customFormat="1" ht="15" customHeight="1" x14ac:dyDescent="0.2">
      <c r="A379" s="4">
        <v>2006</v>
      </c>
      <c r="B379" s="4" t="s">
        <v>91</v>
      </c>
      <c r="C379" s="4">
        <v>3</v>
      </c>
      <c r="D379" s="4">
        <v>2</v>
      </c>
      <c r="E379" s="4" t="s">
        <v>114</v>
      </c>
      <c r="F379" s="4" t="s">
        <v>36</v>
      </c>
      <c r="G379" s="4">
        <v>1965</v>
      </c>
      <c r="H379" s="4" t="s">
        <v>37</v>
      </c>
      <c r="I379" s="5">
        <v>1.25</v>
      </c>
      <c r="J379" s="3">
        <v>780</v>
      </c>
      <c r="K379" s="3">
        <f t="shared" si="31"/>
        <v>624</v>
      </c>
      <c r="L379" s="3">
        <v>85</v>
      </c>
      <c r="M379" s="5">
        <v>3.3</v>
      </c>
      <c r="N379" s="5">
        <f>SUM(M379)/I379</f>
        <v>2.6399999999999997</v>
      </c>
      <c r="O379" s="5">
        <f t="shared" si="32"/>
        <v>8.4615384615384617</v>
      </c>
      <c r="P379" s="8">
        <v>38987</v>
      </c>
      <c r="Q379" s="6">
        <v>26</v>
      </c>
      <c r="R379" s="5">
        <v>3.57</v>
      </c>
      <c r="S379" s="6">
        <v>6.74</v>
      </c>
      <c r="T379" s="3"/>
    </row>
    <row r="380" spans="1:20" s="4" customFormat="1" ht="15" customHeight="1" x14ac:dyDescent="0.2">
      <c r="A380" s="4">
        <v>2006</v>
      </c>
      <c r="B380" s="4" t="s">
        <v>91</v>
      </c>
      <c r="C380" s="4">
        <v>4</v>
      </c>
      <c r="D380" s="4">
        <v>4</v>
      </c>
      <c r="E380" s="4" t="s">
        <v>114</v>
      </c>
      <c r="F380" s="4" t="s">
        <v>36</v>
      </c>
      <c r="G380" s="4">
        <v>1965</v>
      </c>
      <c r="H380" s="4" t="s">
        <v>37</v>
      </c>
      <c r="I380" s="5">
        <v>1.6</v>
      </c>
      <c r="J380" s="3">
        <v>550</v>
      </c>
      <c r="K380" s="3">
        <f t="shared" si="31"/>
        <v>343.75</v>
      </c>
      <c r="L380" s="3"/>
      <c r="M380" s="5">
        <v>5.6</v>
      </c>
      <c r="N380" s="5">
        <f>SUM(M380/I380)</f>
        <v>3.4999999999999996</v>
      </c>
      <c r="O380" s="5">
        <f t="shared" si="32"/>
        <v>20.363636363636363</v>
      </c>
      <c r="P380" s="8">
        <v>38987</v>
      </c>
      <c r="Q380" s="6">
        <v>26</v>
      </c>
      <c r="R380" s="5">
        <v>3.57</v>
      </c>
      <c r="S380" s="6">
        <v>6.7</v>
      </c>
      <c r="T380" s="3"/>
    </row>
    <row r="381" spans="1:20" s="4" customFormat="1" ht="15" customHeight="1" x14ac:dyDescent="0.2">
      <c r="A381" s="4">
        <v>2007</v>
      </c>
      <c r="B381" s="4" t="s">
        <v>91</v>
      </c>
      <c r="C381" s="4">
        <v>3</v>
      </c>
      <c r="D381" s="4">
        <v>2</v>
      </c>
      <c r="E381" s="4" t="s">
        <v>114</v>
      </c>
      <c r="F381" s="4" t="s">
        <v>36</v>
      </c>
      <c r="G381" s="4">
        <v>1965</v>
      </c>
      <c r="H381" s="4" t="s">
        <v>37</v>
      </c>
      <c r="I381" s="5">
        <v>1.25</v>
      </c>
      <c r="J381" s="3">
        <v>780</v>
      </c>
      <c r="K381" s="3">
        <f t="shared" si="31"/>
        <v>624</v>
      </c>
      <c r="L381" s="3">
        <v>92</v>
      </c>
      <c r="M381" s="5">
        <v>3.9</v>
      </c>
      <c r="N381" s="5">
        <f>SUM(M381)/I381</f>
        <v>3.12</v>
      </c>
      <c r="O381" s="5">
        <f t="shared" si="32"/>
        <v>10</v>
      </c>
      <c r="P381" s="8">
        <v>39356</v>
      </c>
      <c r="Q381" s="6">
        <v>29</v>
      </c>
      <c r="R381" s="5">
        <v>3.73</v>
      </c>
      <c r="S381" s="6">
        <v>7.5</v>
      </c>
      <c r="T381" s="3"/>
    </row>
    <row r="382" spans="1:20" s="4" customFormat="1" ht="15" customHeight="1" x14ac:dyDescent="0.2">
      <c r="A382" s="4">
        <v>2007</v>
      </c>
      <c r="B382" s="4" t="s">
        <v>91</v>
      </c>
      <c r="C382" s="4">
        <v>4</v>
      </c>
      <c r="D382" s="4">
        <v>4</v>
      </c>
      <c r="E382" s="4" t="s">
        <v>114</v>
      </c>
      <c r="F382" s="4" t="s">
        <v>36</v>
      </c>
      <c r="G382" s="4">
        <v>1965</v>
      </c>
      <c r="H382" s="4" t="s">
        <v>37</v>
      </c>
      <c r="I382" s="5">
        <v>1.6</v>
      </c>
      <c r="J382" s="3">
        <v>550</v>
      </c>
      <c r="K382" s="3">
        <f t="shared" si="31"/>
        <v>343.75</v>
      </c>
      <c r="L382" s="3">
        <v>103</v>
      </c>
      <c r="M382" s="5">
        <v>7.8</v>
      </c>
      <c r="N382" s="5">
        <f>SUM(M382/I382)</f>
        <v>4.875</v>
      </c>
      <c r="O382" s="5">
        <f t="shared" si="32"/>
        <v>28.363636363636363</v>
      </c>
      <c r="P382" s="8">
        <v>39356</v>
      </c>
      <c r="Q382" s="6">
        <v>29</v>
      </c>
      <c r="R382" s="5">
        <v>3.73</v>
      </c>
      <c r="S382" s="6">
        <v>7.5</v>
      </c>
      <c r="T382" s="3"/>
    </row>
    <row r="383" spans="1:20" s="4" customFormat="1" ht="15" customHeight="1" x14ac:dyDescent="0.2">
      <c r="A383" s="4">
        <v>2008</v>
      </c>
      <c r="B383" s="4" t="s">
        <v>91</v>
      </c>
      <c r="C383" s="4">
        <v>3</v>
      </c>
      <c r="D383" s="4">
        <v>2</v>
      </c>
      <c r="E383" s="4" t="s">
        <v>114</v>
      </c>
      <c r="F383" s="4" t="s">
        <v>36</v>
      </c>
      <c r="G383" s="4">
        <v>1965</v>
      </c>
      <c r="H383" s="4" t="s">
        <v>37</v>
      </c>
      <c r="I383" s="5">
        <v>1.25</v>
      </c>
      <c r="J383" s="3">
        <v>780</v>
      </c>
      <c r="K383" s="3">
        <f t="shared" si="31"/>
        <v>624</v>
      </c>
      <c r="L383" s="3">
        <v>115</v>
      </c>
      <c r="M383" s="5">
        <v>8.4</v>
      </c>
      <c r="N383" s="5">
        <f>SUM(M383)/I383</f>
        <v>6.7200000000000006</v>
      </c>
      <c r="O383" s="5">
        <f t="shared" si="32"/>
        <v>21.53846153846154</v>
      </c>
      <c r="P383" s="8">
        <v>39721</v>
      </c>
      <c r="Q383" s="6">
        <v>25</v>
      </c>
      <c r="R383" s="5">
        <v>3.38</v>
      </c>
      <c r="S383" s="6">
        <v>9.1</v>
      </c>
      <c r="T383" s="3"/>
    </row>
    <row r="384" spans="1:20" s="4" customFormat="1" ht="15" customHeight="1" x14ac:dyDescent="0.2">
      <c r="A384" s="4">
        <v>2008</v>
      </c>
      <c r="B384" s="4" t="s">
        <v>91</v>
      </c>
      <c r="C384" s="4">
        <v>4</v>
      </c>
      <c r="D384" s="4">
        <v>4</v>
      </c>
      <c r="E384" s="4" t="s">
        <v>114</v>
      </c>
      <c r="F384" s="4" t="s">
        <v>36</v>
      </c>
      <c r="G384" s="4">
        <v>1965</v>
      </c>
      <c r="H384" s="4" t="s">
        <v>37</v>
      </c>
      <c r="I384" s="5">
        <v>1.6</v>
      </c>
      <c r="J384" s="3">
        <v>550</v>
      </c>
      <c r="K384" s="3">
        <f t="shared" si="31"/>
        <v>343.75</v>
      </c>
      <c r="L384" s="3">
        <v>123</v>
      </c>
      <c r="M384" s="5">
        <v>10.9</v>
      </c>
      <c r="N384" s="5">
        <f>SUM(M384/I384)</f>
        <v>6.8125</v>
      </c>
      <c r="O384" s="5">
        <f t="shared" si="32"/>
        <v>39.636363636363633</v>
      </c>
      <c r="P384" s="8">
        <v>39721</v>
      </c>
      <c r="Q384" s="6">
        <v>25</v>
      </c>
      <c r="R384" s="5">
        <v>3.38</v>
      </c>
      <c r="S384" s="6">
        <v>9.1</v>
      </c>
      <c r="T384" s="3"/>
    </row>
    <row r="385" spans="1:20" s="4" customFormat="1" ht="15" customHeight="1" x14ac:dyDescent="0.2">
      <c r="A385" s="4">
        <v>2009</v>
      </c>
      <c r="B385" s="4" t="s">
        <v>91</v>
      </c>
      <c r="C385" s="4">
        <v>3</v>
      </c>
      <c r="D385" s="4">
        <v>2</v>
      </c>
      <c r="E385" s="4" t="s">
        <v>114</v>
      </c>
      <c r="F385" s="4" t="s">
        <v>36</v>
      </c>
      <c r="G385" s="4">
        <v>1965</v>
      </c>
      <c r="H385" s="4" t="s">
        <v>37</v>
      </c>
      <c r="I385" s="5">
        <v>1.25</v>
      </c>
      <c r="J385" s="3">
        <v>780</v>
      </c>
      <c r="K385" s="3">
        <f t="shared" si="31"/>
        <v>624</v>
      </c>
      <c r="L385" s="3">
        <v>155</v>
      </c>
      <c r="M385" s="5">
        <v>5.6</v>
      </c>
      <c r="N385" s="5">
        <f>SUM(M385)/I385</f>
        <v>4.4799999999999995</v>
      </c>
      <c r="O385" s="5">
        <f t="shared" si="32"/>
        <v>14.358974358974359</v>
      </c>
      <c r="P385" s="8">
        <v>40084</v>
      </c>
      <c r="Q385" s="6">
        <v>30</v>
      </c>
      <c r="R385" s="5">
        <v>4.0199999999999996</v>
      </c>
      <c r="S385" s="6">
        <v>7.5</v>
      </c>
      <c r="T385" s="3"/>
    </row>
    <row r="386" spans="1:20" s="4" customFormat="1" ht="15" customHeight="1" x14ac:dyDescent="0.2">
      <c r="A386" s="4">
        <v>2009</v>
      </c>
      <c r="B386" s="4" t="s">
        <v>91</v>
      </c>
      <c r="C386" s="4">
        <v>4</v>
      </c>
      <c r="D386" s="4">
        <v>4</v>
      </c>
      <c r="E386" s="4" t="s">
        <v>114</v>
      </c>
      <c r="F386" s="4" t="s">
        <v>36</v>
      </c>
      <c r="G386" s="4">
        <v>1965</v>
      </c>
      <c r="H386" s="4" t="s">
        <v>37</v>
      </c>
      <c r="I386" s="5">
        <v>1.6</v>
      </c>
      <c r="J386" s="3">
        <v>550</v>
      </c>
      <c r="K386" s="3">
        <f t="shared" si="31"/>
        <v>343.75</v>
      </c>
      <c r="L386" s="3">
        <v>123</v>
      </c>
      <c r="M386" s="5">
        <v>4.5</v>
      </c>
      <c r="N386" s="5">
        <f>SUM(M386/I386)</f>
        <v>2.8125</v>
      </c>
      <c r="O386" s="5">
        <f t="shared" si="32"/>
        <v>16.363636363636363</v>
      </c>
      <c r="P386" s="8">
        <v>40085</v>
      </c>
      <c r="Q386" s="6">
        <v>30</v>
      </c>
      <c r="R386" s="5">
        <v>4.0199999999999996</v>
      </c>
      <c r="S386" s="6">
        <v>7.5</v>
      </c>
      <c r="T386" s="3"/>
    </row>
    <row r="387" spans="1:20" s="4" customFormat="1" ht="15" customHeight="1" x14ac:dyDescent="0.2">
      <c r="A387" s="4">
        <v>2010</v>
      </c>
      <c r="B387" s="4" t="s">
        <v>91</v>
      </c>
      <c r="C387" s="4">
        <v>3</v>
      </c>
      <c r="D387" s="4">
        <v>2</v>
      </c>
      <c r="E387" s="4" t="s">
        <v>114</v>
      </c>
      <c r="F387" s="4" t="s">
        <v>36</v>
      </c>
      <c r="G387" s="4">
        <v>1965</v>
      </c>
      <c r="H387" s="4" t="s">
        <v>37</v>
      </c>
      <c r="I387" s="5">
        <v>1.25</v>
      </c>
      <c r="J387" s="3">
        <v>780</v>
      </c>
      <c r="K387" s="3">
        <f t="shared" si="31"/>
        <v>624</v>
      </c>
      <c r="L387" s="3">
        <v>133</v>
      </c>
      <c r="M387" s="5">
        <v>3.9</v>
      </c>
      <c r="N387" s="5">
        <f>SUM(M387)/I387</f>
        <v>3.12</v>
      </c>
      <c r="O387" s="5">
        <f t="shared" si="32"/>
        <v>10</v>
      </c>
      <c r="P387" s="8">
        <v>40455</v>
      </c>
      <c r="Q387" s="6">
        <v>27.8</v>
      </c>
      <c r="R387" s="5">
        <v>3.53</v>
      </c>
      <c r="S387" s="6">
        <v>10.4</v>
      </c>
      <c r="T387" s="3"/>
    </row>
    <row r="388" spans="1:20" s="4" customFormat="1" ht="15" customHeight="1" x14ac:dyDescent="0.2">
      <c r="A388" s="4">
        <v>2010</v>
      </c>
      <c r="B388" s="4" t="s">
        <v>91</v>
      </c>
      <c r="C388" s="4">
        <v>4</v>
      </c>
      <c r="D388" s="4">
        <v>4</v>
      </c>
      <c r="E388" s="4" t="s">
        <v>114</v>
      </c>
      <c r="F388" s="4" t="s">
        <v>36</v>
      </c>
      <c r="G388" s="4">
        <v>1965</v>
      </c>
      <c r="H388" s="4" t="s">
        <v>37</v>
      </c>
      <c r="I388" s="5">
        <v>1.6</v>
      </c>
      <c r="J388" s="3">
        <v>550</v>
      </c>
      <c r="K388" s="3">
        <f t="shared" si="31"/>
        <v>343.75</v>
      </c>
      <c r="L388" s="3">
        <v>107</v>
      </c>
      <c r="M388" s="5">
        <v>5.8</v>
      </c>
      <c r="N388" s="5">
        <f>SUM(M388/I388)</f>
        <v>3.6249999999999996</v>
      </c>
      <c r="O388" s="5">
        <f t="shared" si="32"/>
        <v>21.09090909090909</v>
      </c>
      <c r="P388" s="8">
        <v>40455</v>
      </c>
      <c r="Q388" s="6">
        <v>27.8</v>
      </c>
      <c r="R388" s="5">
        <v>3.53</v>
      </c>
      <c r="S388" s="6">
        <v>10.4</v>
      </c>
      <c r="T388" s="3"/>
    </row>
    <row r="389" spans="1:20" s="4" customFormat="1" ht="15" customHeight="1" x14ac:dyDescent="0.2">
      <c r="A389" s="4">
        <v>2011</v>
      </c>
      <c r="B389" s="4" t="s">
        <v>91</v>
      </c>
      <c r="C389" s="4">
        <v>3</v>
      </c>
      <c r="D389" s="4">
        <v>2</v>
      </c>
      <c r="E389" s="4" t="s">
        <v>114</v>
      </c>
      <c r="F389" s="4" t="s">
        <v>36</v>
      </c>
      <c r="G389" s="4">
        <v>1965</v>
      </c>
      <c r="H389" s="4" t="s">
        <v>37</v>
      </c>
      <c r="I389" s="5">
        <v>1.25</v>
      </c>
      <c r="J389" s="3">
        <v>780</v>
      </c>
      <c r="K389" s="3">
        <f t="shared" si="31"/>
        <v>624</v>
      </c>
      <c r="L389" s="3">
        <v>178</v>
      </c>
      <c r="M389" s="5">
        <v>5.28</v>
      </c>
      <c r="N389" s="5">
        <f>SUM(M389)/I389</f>
        <v>4.2240000000000002</v>
      </c>
      <c r="O389" s="5">
        <f t="shared" si="32"/>
        <v>13.538461538461538</v>
      </c>
      <c r="P389" s="8">
        <v>40819</v>
      </c>
      <c r="Q389" s="6">
        <v>24.4</v>
      </c>
      <c r="R389" s="5">
        <v>3.6</v>
      </c>
      <c r="S389" s="6">
        <v>8.6</v>
      </c>
      <c r="T389" s="3"/>
    </row>
    <row r="390" spans="1:20" s="4" customFormat="1" ht="15" customHeight="1" x14ac:dyDescent="0.2">
      <c r="A390" s="4">
        <v>2011</v>
      </c>
      <c r="B390" s="4" t="s">
        <v>91</v>
      </c>
      <c r="C390" s="4">
        <v>4</v>
      </c>
      <c r="D390" s="4">
        <v>4</v>
      </c>
      <c r="E390" s="4" t="s">
        <v>114</v>
      </c>
      <c r="F390" s="4" t="s">
        <v>36</v>
      </c>
      <c r="G390" s="4">
        <v>1965</v>
      </c>
      <c r="H390" s="4" t="s">
        <v>37</v>
      </c>
      <c r="I390" s="5">
        <v>1.6</v>
      </c>
      <c r="J390" s="3">
        <v>550</v>
      </c>
      <c r="K390" s="3">
        <f t="shared" si="31"/>
        <v>343.75</v>
      </c>
      <c r="L390" s="3">
        <v>130</v>
      </c>
      <c r="M390" s="5">
        <v>3.98</v>
      </c>
      <c r="N390" s="5">
        <f>SUM(M390/I390)</f>
        <v>2.4874999999999998</v>
      </c>
      <c r="O390" s="5">
        <f t="shared" si="32"/>
        <v>14.472727272727273</v>
      </c>
      <c r="P390" s="8">
        <v>40820</v>
      </c>
      <c r="Q390" s="6">
        <v>24.4</v>
      </c>
      <c r="R390" s="5">
        <v>3.6</v>
      </c>
      <c r="S390" s="6">
        <v>8.6</v>
      </c>
      <c r="T390" s="3"/>
    </row>
    <row r="391" spans="1:20" s="4" customFormat="1" ht="15" customHeight="1" x14ac:dyDescent="0.2">
      <c r="A391" s="4">
        <v>2012</v>
      </c>
      <c r="B391" s="4" t="s">
        <v>91</v>
      </c>
      <c r="C391" s="4">
        <v>3</v>
      </c>
      <c r="D391" s="4">
        <v>2</v>
      </c>
      <c r="E391" s="4" t="s">
        <v>114</v>
      </c>
      <c r="F391" s="4" t="s">
        <v>36</v>
      </c>
      <c r="G391" s="4">
        <v>1965</v>
      </c>
      <c r="H391" s="4" t="s">
        <v>37</v>
      </c>
      <c r="I391" s="5">
        <v>1.25</v>
      </c>
      <c r="J391" s="3">
        <v>780</v>
      </c>
      <c r="K391" s="3">
        <f t="shared" si="31"/>
        <v>624</v>
      </c>
      <c r="L391" s="3">
        <v>125</v>
      </c>
      <c r="M391" s="5">
        <v>4.21</v>
      </c>
      <c r="N391" s="5">
        <f>SUM(M391)/I391</f>
        <v>3.3679999999999999</v>
      </c>
      <c r="O391" s="5">
        <f t="shared" si="32"/>
        <v>10.794871794871796</v>
      </c>
      <c r="P391" s="8">
        <v>41178</v>
      </c>
      <c r="Q391" s="6">
        <v>28</v>
      </c>
      <c r="R391" s="5">
        <v>3.78</v>
      </c>
      <c r="S391" s="6">
        <v>7.5</v>
      </c>
      <c r="T391" s="3"/>
    </row>
    <row r="392" spans="1:20" s="4" customFormat="1" ht="15" customHeight="1" x14ac:dyDescent="0.2">
      <c r="A392" s="4">
        <v>2012</v>
      </c>
      <c r="B392" s="4" t="s">
        <v>91</v>
      </c>
      <c r="C392" s="4">
        <v>4</v>
      </c>
      <c r="D392" s="4">
        <v>4</v>
      </c>
      <c r="E392" s="4" t="s">
        <v>114</v>
      </c>
      <c r="F392" s="4" t="s">
        <v>36</v>
      </c>
      <c r="G392" s="4">
        <v>1965</v>
      </c>
      <c r="H392" s="4" t="s">
        <v>37</v>
      </c>
      <c r="I392" s="5">
        <v>1.6</v>
      </c>
      <c r="J392" s="3">
        <v>550</v>
      </c>
      <c r="K392" s="3">
        <f t="shared" si="31"/>
        <v>343.75</v>
      </c>
      <c r="L392" s="3">
        <v>108</v>
      </c>
      <c r="M392" s="5">
        <f>3.9</f>
        <v>3.9</v>
      </c>
      <c r="N392" s="5">
        <f>SUM(M392/I392)</f>
        <v>2.4375</v>
      </c>
      <c r="O392" s="5">
        <f t="shared" si="32"/>
        <v>14.181818181818182</v>
      </c>
      <c r="P392" s="8">
        <v>41178</v>
      </c>
      <c r="Q392" s="6">
        <v>28</v>
      </c>
      <c r="R392" s="5">
        <v>3.78</v>
      </c>
      <c r="S392" s="6">
        <v>7.5</v>
      </c>
      <c r="T392" s="3"/>
    </row>
    <row r="393" spans="1:20" s="4" customFormat="1" ht="15" customHeight="1" x14ac:dyDescent="0.2">
      <c r="A393" s="4">
        <v>2000</v>
      </c>
      <c r="B393" s="4" t="s">
        <v>91</v>
      </c>
      <c r="C393" s="4">
        <v>1</v>
      </c>
      <c r="D393" s="4">
        <v>1</v>
      </c>
      <c r="E393" s="4" t="s">
        <v>38</v>
      </c>
      <c r="F393" s="4" t="s">
        <v>39</v>
      </c>
      <c r="G393" s="4">
        <v>1997</v>
      </c>
      <c r="H393" s="4" t="s">
        <v>40</v>
      </c>
      <c r="I393" s="5">
        <v>0.91</v>
      </c>
      <c r="J393" s="3">
        <v>1515</v>
      </c>
      <c r="K393" s="3">
        <f t="shared" si="31"/>
        <v>1664.8351648351647</v>
      </c>
      <c r="L393" s="3"/>
      <c r="M393" s="5">
        <v>2.1949999999999998</v>
      </c>
      <c r="N393" s="5">
        <f>SUM(M393)/(I393)</f>
        <v>2.412087912087912</v>
      </c>
      <c r="O393" s="5">
        <f>SUM(M393*2000)/(J393)</f>
        <v>2.8976897689768979</v>
      </c>
      <c r="Q393" s="6">
        <v>24.6</v>
      </c>
      <c r="R393" s="5">
        <v>3.16</v>
      </c>
      <c r="S393" s="6">
        <v>8.1999999999999993</v>
      </c>
      <c r="T393" s="3"/>
    </row>
    <row r="394" spans="1:20" s="4" customFormat="1" ht="15" customHeight="1" x14ac:dyDescent="0.2">
      <c r="A394" s="4">
        <v>2000</v>
      </c>
      <c r="B394" s="4" t="s">
        <v>91</v>
      </c>
      <c r="C394" s="4">
        <v>2</v>
      </c>
      <c r="D394" s="4">
        <v>2</v>
      </c>
      <c r="E394" s="4" t="s">
        <v>38</v>
      </c>
      <c r="F394" s="4">
        <v>181</v>
      </c>
      <c r="G394" s="4">
        <v>1998</v>
      </c>
      <c r="H394" s="4" t="s">
        <v>41</v>
      </c>
      <c r="I394" s="5">
        <v>3.27</v>
      </c>
      <c r="J394" s="3">
        <v>4500</v>
      </c>
      <c r="K394" s="3">
        <f t="shared" si="31"/>
        <v>1376.1467889908256</v>
      </c>
      <c r="L394" s="3"/>
      <c r="M394" s="5">
        <v>5.9219999999999997</v>
      </c>
      <c r="N394" s="5">
        <f>SUM(M394)/I394</f>
        <v>1.8110091743119265</v>
      </c>
      <c r="O394" s="5">
        <f>SUM(M394*2000)/J394</f>
        <v>2.6320000000000001</v>
      </c>
      <c r="Q394" s="6">
        <v>25.6</v>
      </c>
      <c r="R394" s="5">
        <v>3.15</v>
      </c>
      <c r="S394" s="6">
        <v>7.2</v>
      </c>
      <c r="T394" s="3"/>
    </row>
    <row r="395" spans="1:20" s="4" customFormat="1" ht="15" customHeight="1" x14ac:dyDescent="0.2">
      <c r="A395" s="4">
        <v>2000</v>
      </c>
      <c r="B395" s="4" t="s">
        <v>91</v>
      </c>
      <c r="C395" s="4">
        <v>2</v>
      </c>
      <c r="D395" s="4">
        <v>7</v>
      </c>
      <c r="E395" s="4" t="s">
        <v>38</v>
      </c>
      <c r="F395" s="4">
        <v>347</v>
      </c>
      <c r="G395" s="4">
        <v>1998</v>
      </c>
      <c r="H395" s="4" t="s">
        <v>14</v>
      </c>
      <c r="I395" s="5">
        <v>3.27</v>
      </c>
      <c r="J395" s="3">
        <v>4500</v>
      </c>
      <c r="K395" s="3">
        <f t="shared" ref="K395:K416" si="33">SUM(J395/I395)</f>
        <v>1376.1467889908256</v>
      </c>
      <c r="L395" s="3"/>
      <c r="M395" s="5">
        <v>4.2694999999999999</v>
      </c>
      <c r="N395" s="5">
        <f>SUM(M395)/I395</f>
        <v>1.3056574923547399</v>
      </c>
      <c r="O395" s="5">
        <f>SUM(M395*2000)/J395</f>
        <v>1.8975555555555557</v>
      </c>
      <c r="Q395" s="6">
        <v>24.6</v>
      </c>
      <c r="R395" s="5">
        <v>3.16</v>
      </c>
      <c r="S395" s="6">
        <v>8.1999999999999993</v>
      </c>
      <c r="T395" s="3"/>
    </row>
    <row r="396" spans="1:20" s="4" customFormat="1" ht="15" customHeight="1" x14ac:dyDescent="0.2">
      <c r="A396" s="4">
        <v>2000</v>
      </c>
      <c r="B396" s="4" t="s">
        <v>91</v>
      </c>
      <c r="C396" s="4">
        <v>2</v>
      </c>
      <c r="D396" s="4">
        <v>8</v>
      </c>
      <c r="E396" s="4" t="s">
        <v>38</v>
      </c>
      <c r="F396" s="4">
        <v>346</v>
      </c>
      <c r="G396" s="4">
        <v>1998</v>
      </c>
      <c r="H396" s="4" t="s">
        <v>14</v>
      </c>
      <c r="I396" s="5">
        <v>1.1599999999999999</v>
      </c>
      <c r="J396" s="3">
        <v>1600</v>
      </c>
      <c r="K396" s="3">
        <f t="shared" si="33"/>
        <v>1379.3103448275863</v>
      </c>
      <c r="L396" s="3"/>
      <c r="M396" s="5">
        <v>3.649</v>
      </c>
      <c r="N396" s="5">
        <f>SUM(M396)/I396</f>
        <v>3.1456896551724141</v>
      </c>
      <c r="O396" s="5">
        <f>SUM(M396*2000)/J396</f>
        <v>4.5612500000000002</v>
      </c>
      <c r="Q396" s="6">
        <v>24.6</v>
      </c>
      <c r="R396" s="5">
        <v>3.16</v>
      </c>
      <c r="S396" s="6">
        <v>8.1999999999999993</v>
      </c>
      <c r="T396" s="3"/>
    </row>
    <row r="397" spans="1:20" s="4" customFormat="1" ht="15" customHeight="1" x14ac:dyDescent="0.2">
      <c r="A397" s="4">
        <v>2001</v>
      </c>
      <c r="B397" s="4" t="s">
        <v>91</v>
      </c>
      <c r="C397" s="4">
        <v>1</v>
      </c>
      <c r="D397" s="4">
        <v>1</v>
      </c>
      <c r="E397" s="4" t="s">
        <v>38</v>
      </c>
      <c r="F397" s="4" t="s">
        <v>39</v>
      </c>
      <c r="G397" s="4">
        <v>1997</v>
      </c>
      <c r="H397" s="4" t="s">
        <v>40</v>
      </c>
      <c r="I397" s="5">
        <v>0.91</v>
      </c>
      <c r="J397" s="3">
        <v>1515</v>
      </c>
      <c r="K397" s="3">
        <f t="shared" si="33"/>
        <v>1664.8351648351647</v>
      </c>
      <c r="L397" s="3"/>
      <c r="M397" s="5">
        <v>3.63</v>
      </c>
      <c r="N397" s="5">
        <f>SUM(M397)/(I397)</f>
        <v>3.9890109890109886</v>
      </c>
      <c r="O397" s="5">
        <f>SUM(M397*2000)/(J397)</f>
        <v>4.7920792079207919</v>
      </c>
      <c r="Q397" s="6">
        <v>24</v>
      </c>
      <c r="R397" s="5">
        <v>3.25</v>
      </c>
      <c r="S397" s="6">
        <v>8.8000000000000007</v>
      </c>
      <c r="T397" s="3"/>
    </row>
    <row r="398" spans="1:20" s="4" customFormat="1" ht="15" customHeight="1" x14ac:dyDescent="0.2">
      <c r="A398" s="4">
        <v>2001</v>
      </c>
      <c r="B398" s="4" t="s">
        <v>91</v>
      </c>
      <c r="C398" s="4">
        <v>2</v>
      </c>
      <c r="D398" s="4">
        <v>2</v>
      </c>
      <c r="E398" s="4" t="s">
        <v>38</v>
      </c>
      <c r="F398" s="4">
        <v>181</v>
      </c>
      <c r="G398" s="4">
        <v>1998</v>
      </c>
      <c r="H398" s="4" t="s">
        <v>41</v>
      </c>
      <c r="I398" s="5">
        <v>3.27</v>
      </c>
      <c r="J398" s="3">
        <v>4500</v>
      </c>
      <c r="K398" s="3">
        <f t="shared" si="33"/>
        <v>1376.1467889908256</v>
      </c>
      <c r="L398" s="3">
        <v>193</v>
      </c>
      <c r="M398" s="5">
        <v>10.88</v>
      </c>
      <c r="N398" s="5">
        <f>SUM(M398)/I398</f>
        <v>3.3272171253822633</v>
      </c>
      <c r="O398" s="5">
        <f>SUM(M398*2000)/J398</f>
        <v>4.8355555555555556</v>
      </c>
      <c r="Q398" s="6">
        <v>24</v>
      </c>
      <c r="R398" s="5">
        <v>3.34</v>
      </c>
      <c r="S398" s="6">
        <v>7.1</v>
      </c>
      <c r="T398" s="3"/>
    </row>
    <row r="399" spans="1:20" s="4" customFormat="1" ht="15" customHeight="1" x14ac:dyDescent="0.2">
      <c r="A399" s="4">
        <v>2001</v>
      </c>
      <c r="B399" s="4" t="s">
        <v>91</v>
      </c>
      <c r="C399" s="4">
        <v>2</v>
      </c>
      <c r="D399" s="4">
        <v>7</v>
      </c>
      <c r="E399" s="4" t="s">
        <v>38</v>
      </c>
      <c r="F399" s="4">
        <v>347</v>
      </c>
      <c r="G399" s="4">
        <v>1998</v>
      </c>
      <c r="H399" s="4" t="s">
        <v>14</v>
      </c>
      <c r="I399" s="5">
        <v>3.27</v>
      </c>
      <c r="J399" s="3">
        <v>4500</v>
      </c>
      <c r="K399" s="3">
        <f t="shared" si="33"/>
        <v>1376.1467889908256</v>
      </c>
      <c r="L399" s="3"/>
      <c r="M399" s="5">
        <v>8.5500000000000007</v>
      </c>
      <c r="N399" s="5">
        <f>SUM(M399)/I399</f>
        <v>2.6146788990825689</v>
      </c>
      <c r="O399" s="5">
        <f>SUM(M399*2000)/J399</f>
        <v>3.8</v>
      </c>
      <c r="Q399" s="6">
        <v>23.1</v>
      </c>
      <c r="R399" s="5">
        <v>3.24</v>
      </c>
      <c r="S399" s="6">
        <v>8.6</v>
      </c>
      <c r="T399" s="3"/>
    </row>
    <row r="400" spans="1:20" s="4" customFormat="1" ht="15" customHeight="1" x14ac:dyDescent="0.2">
      <c r="A400" s="4">
        <v>2001</v>
      </c>
      <c r="B400" s="4" t="s">
        <v>91</v>
      </c>
      <c r="C400" s="4">
        <v>2</v>
      </c>
      <c r="D400" s="4">
        <v>8</v>
      </c>
      <c r="E400" s="4" t="s">
        <v>38</v>
      </c>
      <c r="F400" s="4">
        <v>346</v>
      </c>
      <c r="G400" s="4">
        <v>1998</v>
      </c>
      <c r="H400" s="4" t="s">
        <v>14</v>
      </c>
      <c r="I400" s="5">
        <v>1.1599999999999999</v>
      </c>
      <c r="J400" s="3">
        <v>1600</v>
      </c>
      <c r="K400" s="3">
        <f t="shared" si="33"/>
        <v>1379.3103448275863</v>
      </c>
      <c r="L400" s="3">
        <v>186</v>
      </c>
      <c r="M400" s="5">
        <v>4.03</v>
      </c>
      <c r="N400" s="5">
        <f>SUM(M400)/I400</f>
        <v>3.4741379310344831</v>
      </c>
      <c r="O400" s="5">
        <f>SUM(M400*2000)/J400</f>
        <v>5.0375000000000005</v>
      </c>
      <c r="Q400" s="6">
        <v>23.8</v>
      </c>
      <c r="R400" s="5">
        <v>3.24</v>
      </c>
      <c r="S400" s="6">
        <v>8.6999999999999993</v>
      </c>
      <c r="T400" s="3"/>
    </row>
    <row r="401" spans="1:20" s="4" customFormat="1" ht="15" customHeight="1" x14ac:dyDescent="0.2">
      <c r="A401" s="4">
        <v>2002</v>
      </c>
      <c r="B401" s="4" t="s">
        <v>91</v>
      </c>
      <c r="C401" s="4">
        <v>1</v>
      </c>
      <c r="D401" s="4">
        <v>1</v>
      </c>
      <c r="E401" s="4" t="s">
        <v>38</v>
      </c>
      <c r="F401" s="4" t="s">
        <v>39</v>
      </c>
      <c r="G401" s="4">
        <v>1997</v>
      </c>
      <c r="H401" s="4" t="s">
        <v>40</v>
      </c>
      <c r="I401" s="5">
        <v>0.91</v>
      </c>
      <c r="J401" s="3">
        <v>1515</v>
      </c>
      <c r="K401" s="3">
        <f t="shared" si="33"/>
        <v>1664.8351648351647</v>
      </c>
      <c r="L401" s="3">
        <v>238</v>
      </c>
      <c r="M401" s="5">
        <v>3.8</v>
      </c>
      <c r="N401" s="5">
        <f>SUM(M401)/(I401)</f>
        <v>4.1758241758241752</v>
      </c>
      <c r="O401" s="5">
        <f>SUM(M401*2000)/(J401)</f>
        <v>5.0165016501650168</v>
      </c>
      <c r="P401" s="8">
        <v>37919</v>
      </c>
      <c r="Q401" s="6">
        <v>26.2</v>
      </c>
      <c r="R401" s="5">
        <v>3.62</v>
      </c>
      <c r="S401" s="6">
        <v>5</v>
      </c>
      <c r="T401" s="3"/>
    </row>
    <row r="402" spans="1:20" s="4" customFormat="1" ht="15" customHeight="1" x14ac:dyDescent="0.2">
      <c r="A402" s="4">
        <v>2002</v>
      </c>
      <c r="B402" s="4" t="s">
        <v>91</v>
      </c>
      <c r="C402" s="4">
        <v>2</v>
      </c>
      <c r="D402" s="4">
        <v>2</v>
      </c>
      <c r="E402" s="4" t="s">
        <v>38</v>
      </c>
      <c r="F402" s="4">
        <v>181</v>
      </c>
      <c r="G402" s="4">
        <v>1998</v>
      </c>
      <c r="H402" s="4" t="s">
        <v>41</v>
      </c>
      <c r="I402" s="5">
        <v>3.27</v>
      </c>
      <c r="J402" s="3">
        <v>4500</v>
      </c>
      <c r="K402" s="3">
        <f t="shared" si="33"/>
        <v>1376.1467889908256</v>
      </c>
      <c r="L402" s="3">
        <v>242</v>
      </c>
      <c r="M402" s="5">
        <v>9.51</v>
      </c>
      <c r="N402" s="5">
        <f>SUM(M402)/I402</f>
        <v>2.9082568807339451</v>
      </c>
      <c r="O402" s="5">
        <f>SUM(M402*2000)/J402</f>
        <v>4.2266666666666666</v>
      </c>
      <c r="P402" s="8">
        <v>37918</v>
      </c>
      <c r="Q402" s="6">
        <v>26.2</v>
      </c>
      <c r="R402" s="5">
        <v>3.75</v>
      </c>
      <c r="S402" s="6">
        <v>5.0999999999999996</v>
      </c>
      <c r="T402" s="3"/>
    </row>
    <row r="403" spans="1:20" s="4" customFormat="1" ht="15" customHeight="1" x14ac:dyDescent="0.2">
      <c r="A403" s="4">
        <v>2002</v>
      </c>
      <c r="B403" s="4" t="s">
        <v>91</v>
      </c>
      <c r="C403" s="4">
        <v>2</v>
      </c>
      <c r="D403" s="4">
        <v>7</v>
      </c>
      <c r="E403" s="4" t="s">
        <v>38</v>
      </c>
      <c r="F403" s="4">
        <v>347</v>
      </c>
      <c r="G403" s="4">
        <v>1998</v>
      </c>
      <c r="H403" s="4" t="s">
        <v>14</v>
      </c>
      <c r="I403" s="5">
        <v>3.27</v>
      </c>
      <c r="J403" s="3">
        <v>4500</v>
      </c>
      <c r="K403" s="3">
        <f t="shared" si="33"/>
        <v>1376.1467889908256</v>
      </c>
      <c r="L403" s="3">
        <v>333</v>
      </c>
      <c r="M403" s="5">
        <v>9.56</v>
      </c>
      <c r="N403" s="5">
        <f>SUM(M403)/I403</f>
        <v>2.9235474006116209</v>
      </c>
      <c r="O403" s="5">
        <f>SUM(M403*2000)/J403</f>
        <v>4.2488888888888887</v>
      </c>
      <c r="P403" s="8">
        <v>37919</v>
      </c>
      <c r="Q403" s="6">
        <v>25.8</v>
      </c>
      <c r="R403" s="5">
        <v>3.51</v>
      </c>
      <c r="S403" s="6">
        <v>5.5</v>
      </c>
      <c r="T403" s="3"/>
    </row>
    <row r="404" spans="1:20" s="4" customFormat="1" ht="15" customHeight="1" x14ac:dyDescent="0.2">
      <c r="A404" s="4">
        <v>2002</v>
      </c>
      <c r="B404" s="4" t="s">
        <v>91</v>
      </c>
      <c r="C404" s="4">
        <v>2</v>
      </c>
      <c r="D404" s="4">
        <v>8</v>
      </c>
      <c r="E404" s="4" t="s">
        <v>38</v>
      </c>
      <c r="F404" s="4">
        <v>346</v>
      </c>
      <c r="G404" s="4">
        <v>1998</v>
      </c>
      <c r="H404" s="4" t="s">
        <v>14</v>
      </c>
      <c r="I404" s="5">
        <v>1.1599999999999999</v>
      </c>
      <c r="J404" s="3">
        <v>1600</v>
      </c>
      <c r="K404" s="3">
        <f t="shared" si="33"/>
        <v>1379.3103448275863</v>
      </c>
      <c r="L404" s="3">
        <v>273</v>
      </c>
      <c r="M404" s="5">
        <v>3.37</v>
      </c>
      <c r="N404" s="5">
        <f>SUM(M404)/I404</f>
        <v>2.9051724137931036</v>
      </c>
      <c r="O404" s="5">
        <f>SUM(M404*2000)/J404</f>
        <v>4.2125000000000004</v>
      </c>
      <c r="P404" s="8">
        <v>37919</v>
      </c>
      <c r="Q404" s="6">
        <v>26.2</v>
      </c>
      <c r="R404" s="5">
        <v>3.62</v>
      </c>
      <c r="S404" s="6">
        <v>5</v>
      </c>
      <c r="T404" s="3"/>
    </row>
    <row r="405" spans="1:20" s="4" customFormat="1" ht="15" customHeight="1" x14ac:dyDescent="0.2">
      <c r="A405" s="4">
        <v>2003</v>
      </c>
      <c r="B405" s="4" t="s">
        <v>91</v>
      </c>
      <c r="C405" s="4">
        <v>1</v>
      </c>
      <c r="D405" s="4">
        <v>1</v>
      </c>
      <c r="E405" s="4" t="s">
        <v>38</v>
      </c>
      <c r="F405" s="4" t="s">
        <v>39</v>
      </c>
      <c r="G405" s="4">
        <v>1997</v>
      </c>
      <c r="H405" s="4" t="s">
        <v>40</v>
      </c>
      <c r="I405" s="5">
        <v>0.91</v>
      </c>
      <c r="J405" s="3">
        <v>1515</v>
      </c>
      <c r="K405" s="3">
        <f t="shared" si="33"/>
        <v>1664.8351648351647</v>
      </c>
      <c r="L405" s="3">
        <v>293</v>
      </c>
      <c r="M405" s="5">
        <v>3.4</v>
      </c>
      <c r="N405" s="5">
        <f>SUM(M405)/(I405)</f>
        <v>3.7362637362637359</v>
      </c>
      <c r="O405" s="5">
        <f>SUM(M405*2000)/(J405)</f>
        <v>4.4884488448844886</v>
      </c>
      <c r="P405" s="8">
        <v>37902</v>
      </c>
      <c r="Q405" s="6">
        <v>25.6</v>
      </c>
      <c r="R405" s="5">
        <v>3.61</v>
      </c>
      <c r="S405" s="6">
        <v>4.4000000000000004</v>
      </c>
      <c r="T405" s="3"/>
    </row>
    <row r="406" spans="1:20" s="4" customFormat="1" ht="15" customHeight="1" x14ac:dyDescent="0.2">
      <c r="A406" s="4">
        <v>2003</v>
      </c>
      <c r="B406" s="4" t="s">
        <v>91</v>
      </c>
      <c r="C406" s="4">
        <v>2</v>
      </c>
      <c r="D406" s="4">
        <v>2</v>
      </c>
      <c r="E406" s="4" t="s">
        <v>38</v>
      </c>
      <c r="F406" s="4">
        <v>181</v>
      </c>
      <c r="G406" s="4">
        <v>1998</v>
      </c>
      <c r="H406" s="4" t="s">
        <v>41</v>
      </c>
      <c r="I406" s="5">
        <v>3.27</v>
      </c>
      <c r="J406" s="3">
        <v>4500</v>
      </c>
      <c r="K406" s="3">
        <f t="shared" si="33"/>
        <v>1376.1467889908256</v>
      </c>
      <c r="L406" s="3">
        <v>115</v>
      </c>
      <c r="M406" s="5">
        <v>11.8</v>
      </c>
      <c r="N406" s="5">
        <f>SUM(M406)/I406</f>
        <v>3.6085626911314987</v>
      </c>
      <c r="O406" s="5">
        <f>SUM(M406*2000)/J406</f>
        <v>5.2444444444444445</v>
      </c>
      <c r="P406" s="8">
        <v>37896</v>
      </c>
      <c r="Q406" s="6">
        <v>25.6</v>
      </c>
      <c r="R406" s="5">
        <v>3.58</v>
      </c>
      <c r="S406" s="6">
        <v>5</v>
      </c>
      <c r="T406" s="3"/>
    </row>
    <row r="407" spans="1:20" s="4" customFormat="1" ht="15" customHeight="1" x14ac:dyDescent="0.2">
      <c r="A407" s="4">
        <v>2003</v>
      </c>
      <c r="B407" s="4" t="s">
        <v>91</v>
      </c>
      <c r="C407" s="4">
        <v>2</v>
      </c>
      <c r="D407" s="4">
        <v>7</v>
      </c>
      <c r="E407" s="4" t="s">
        <v>38</v>
      </c>
      <c r="F407" s="4">
        <v>347</v>
      </c>
      <c r="G407" s="4">
        <v>1998</v>
      </c>
      <c r="H407" s="4" t="s">
        <v>14</v>
      </c>
      <c r="I407" s="5">
        <v>3.27</v>
      </c>
      <c r="J407" s="3">
        <v>4500</v>
      </c>
      <c r="K407" s="3">
        <f t="shared" si="33"/>
        <v>1376.1467889908256</v>
      </c>
      <c r="L407" s="3">
        <v>250</v>
      </c>
      <c r="M407" s="5">
        <v>15.8</v>
      </c>
      <c r="N407" s="5">
        <f>SUM(M407)/I407</f>
        <v>4.8318042813455655</v>
      </c>
      <c r="O407" s="5">
        <f>SUM(M407*2000)/J407</f>
        <v>7.0222222222222221</v>
      </c>
      <c r="P407" s="8">
        <v>37903</v>
      </c>
      <c r="Q407" s="6">
        <v>25.8</v>
      </c>
      <c r="R407" s="5">
        <v>3.67</v>
      </c>
      <c r="S407" s="6">
        <v>5.2</v>
      </c>
      <c r="T407" s="3"/>
    </row>
    <row r="408" spans="1:20" s="4" customFormat="1" ht="15" customHeight="1" x14ac:dyDescent="0.2">
      <c r="A408" s="4">
        <v>2003</v>
      </c>
      <c r="B408" s="4" t="s">
        <v>91</v>
      </c>
      <c r="C408" s="4">
        <v>2</v>
      </c>
      <c r="D408" s="4">
        <v>8</v>
      </c>
      <c r="E408" s="4" t="s">
        <v>38</v>
      </c>
      <c r="F408" s="4">
        <v>346</v>
      </c>
      <c r="G408" s="4">
        <v>1998</v>
      </c>
      <c r="H408" s="4" t="s">
        <v>14</v>
      </c>
      <c r="I408" s="5">
        <v>1.1599999999999999</v>
      </c>
      <c r="J408" s="3">
        <v>1600</v>
      </c>
      <c r="K408" s="3">
        <f t="shared" si="33"/>
        <v>1379.3103448275863</v>
      </c>
      <c r="L408" s="3">
        <v>250</v>
      </c>
      <c r="M408" s="5">
        <v>2.8</v>
      </c>
      <c r="N408" s="5">
        <f>SUM(M408)/I408</f>
        <v>2.4137931034482758</v>
      </c>
      <c r="O408" s="5">
        <f>SUM(M408*2000)/J408</f>
        <v>3.5</v>
      </c>
      <c r="P408" s="8">
        <v>37902</v>
      </c>
      <c r="Q408" s="6">
        <v>24.6</v>
      </c>
      <c r="R408" s="5">
        <v>3.57</v>
      </c>
      <c r="S408" s="6">
        <v>5</v>
      </c>
      <c r="T408" s="3"/>
    </row>
    <row r="409" spans="1:20" s="4" customFormat="1" ht="15" customHeight="1" x14ac:dyDescent="0.2">
      <c r="A409" s="4">
        <v>2004</v>
      </c>
      <c r="B409" s="4" t="s">
        <v>91</v>
      </c>
      <c r="C409" s="4">
        <v>1</v>
      </c>
      <c r="D409" s="4">
        <v>1</v>
      </c>
      <c r="E409" s="4" t="s">
        <v>38</v>
      </c>
      <c r="F409" s="4" t="s">
        <v>39</v>
      </c>
      <c r="G409" s="4">
        <v>1997</v>
      </c>
      <c r="H409" s="4" t="s">
        <v>40</v>
      </c>
      <c r="I409" s="5">
        <v>0.91</v>
      </c>
      <c r="J409" s="3">
        <v>1515</v>
      </c>
      <c r="K409" s="3">
        <f t="shared" si="33"/>
        <v>1664.8351648351647</v>
      </c>
      <c r="L409" s="3">
        <v>190</v>
      </c>
      <c r="M409" s="5">
        <v>5</v>
      </c>
      <c r="N409" s="5">
        <f>SUM(M409)/(I409)</f>
        <v>5.4945054945054945</v>
      </c>
      <c r="O409" s="5">
        <f>SUM(M409*2000)/(J409)</f>
        <v>6.6006600660066006</v>
      </c>
      <c r="P409" s="8">
        <v>38286</v>
      </c>
      <c r="Q409" s="6">
        <v>25</v>
      </c>
      <c r="R409" s="5">
        <v>3.59</v>
      </c>
      <c r="S409" s="6">
        <v>6.1</v>
      </c>
      <c r="T409" s="3"/>
    </row>
    <row r="410" spans="1:20" s="4" customFormat="1" ht="15" customHeight="1" x14ac:dyDescent="0.2">
      <c r="A410" s="4">
        <v>2004</v>
      </c>
      <c r="B410" s="4" t="s">
        <v>91</v>
      </c>
      <c r="C410" s="4">
        <v>2</v>
      </c>
      <c r="D410" s="4">
        <v>2</v>
      </c>
      <c r="E410" s="4" t="s">
        <v>38</v>
      </c>
      <c r="F410" s="4">
        <v>181</v>
      </c>
      <c r="G410" s="4">
        <v>1998</v>
      </c>
      <c r="H410" s="4" t="s">
        <v>41</v>
      </c>
      <c r="I410" s="5">
        <v>3.27</v>
      </c>
      <c r="J410" s="3">
        <v>4500</v>
      </c>
      <c r="K410" s="3">
        <f t="shared" si="33"/>
        <v>1376.1467889908256</v>
      </c>
      <c r="L410" s="3">
        <v>255</v>
      </c>
      <c r="M410" s="5">
        <v>17.2</v>
      </c>
      <c r="N410" s="5">
        <f>SUM(M410)/I410</f>
        <v>5.2599388379204894</v>
      </c>
      <c r="O410" s="5">
        <f>SUM(M410*2000)/J410</f>
        <v>7.6444444444444448</v>
      </c>
      <c r="P410" s="8">
        <v>38275</v>
      </c>
      <c r="Q410" s="6">
        <v>25</v>
      </c>
      <c r="R410" s="5">
        <v>3.65</v>
      </c>
      <c r="S410" s="6">
        <v>4.8</v>
      </c>
      <c r="T410" s="3"/>
    </row>
    <row r="411" spans="1:20" s="4" customFormat="1" ht="15" customHeight="1" x14ac:dyDescent="0.2">
      <c r="A411" s="4">
        <v>2004</v>
      </c>
      <c r="B411" s="4" t="s">
        <v>91</v>
      </c>
      <c r="C411" s="4">
        <v>2</v>
      </c>
      <c r="D411" s="4">
        <v>7</v>
      </c>
      <c r="E411" s="4" t="s">
        <v>38</v>
      </c>
      <c r="F411" s="4">
        <v>347</v>
      </c>
      <c r="G411" s="4">
        <v>1998</v>
      </c>
      <c r="H411" s="4" t="s">
        <v>14</v>
      </c>
      <c r="I411" s="5">
        <v>3.27</v>
      </c>
      <c r="J411" s="3">
        <v>4500</v>
      </c>
      <c r="K411" s="3">
        <f t="shared" si="33"/>
        <v>1376.1467889908256</v>
      </c>
      <c r="L411" s="3">
        <v>255</v>
      </c>
      <c r="M411" s="5">
        <v>15</v>
      </c>
      <c r="N411" s="5">
        <f>SUM(M411)/I411</f>
        <v>4.5871559633027523</v>
      </c>
      <c r="O411" s="5">
        <f>SUM(M411*2000)/J411</f>
        <v>6.666666666666667</v>
      </c>
      <c r="P411" s="8">
        <v>38281</v>
      </c>
      <c r="Q411" s="6">
        <v>23.7</v>
      </c>
      <c r="R411" s="5">
        <v>3.7</v>
      </c>
      <c r="S411" s="6">
        <v>4.8</v>
      </c>
      <c r="T411" s="3"/>
    </row>
    <row r="412" spans="1:20" s="4" customFormat="1" ht="15" customHeight="1" x14ac:dyDescent="0.2">
      <c r="A412" s="4">
        <v>2004</v>
      </c>
      <c r="B412" s="4" t="s">
        <v>91</v>
      </c>
      <c r="C412" s="4">
        <v>2</v>
      </c>
      <c r="D412" s="4">
        <v>8</v>
      </c>
      <c r="E412" s="4" t="s">
        <v>38</v>
      </c>
      <c r="F412" s="4">
        <v>346</v>
      </c>
      <c r="G412" s="4">
        <v>1998</v>
      </c>
      <c r="H412" s="4" t="s">
        <v>14</v>
      </c>
      <c r="I412" s="5">
        <v>1.1599999999999999</v>
      </c>
      <c r="J412" s="3">
        <v>1600</v>
      </c>
      <c r="K412" s="3">
        <f t="shared" si="33"/>
        <v>1379.3103448275863</v>
      </c>
      <c r="L412" s="3"/>
      <c r="M412" s="5">
        <v>3.8</v>
      </c>
      <c r="N412" s="5">
        <f>SUM(M412)/I412</f>
        <v>3.2758620689655173</v>
      </c>
      <c r="O412" s="5">
        <f>SUM(M412*2000)/J412</f>
        <v>4.75</v>
      </c>
      <c r="P412" s="8">
        <v>38285</v>
      </c>
      <c r="Q412" s="6">
        <v>25.2</v>
      </c>
      <c r="R412" s="5">
        <v>3.9</v>
      </c>
      <c r="S412" s="6">
        <v>4.3</v>
      </c>
      <c r="T412" s="3"/>
    </row>
    <row r="413" spans="1:20" s="4" customFormat="1" ht="15" customHeight="1" x14ac:dyDescent="0.2">
      <c r="A413" s="4">
        <v>2005</v>
      </c>
      <c r="B413" s="4" t="s">
        <v>91</v>
      </c>
      <c r="C413" s="4">
        <v>1</v>
      </c>
      <c r="D413" s="4">
        <v>1</v>
      </c>
      <c r="E413" s="4" t="s">
        <v>38</v>
      </c>
      <c r="F413" s="4" t="s">
        <v>39</v>
      </c>
      <c r="G413" s="4">
        <v>1997</v>
      </c>
      <c r="H413" s="4" t="s">
        <v>40</v>
      </c>
      <c r="I413" s="5">
        <v>0.91</v>
      </c>
      <c r="J413" s="3">
        <v>1515</v>
      </c>
      <c r="K413" s="3">
        <f t="shared" si="33"/>
        <v>1664.8351648351647</v>
      </c>
      <c r="L413" s="3">
        <v>210</v>
      </c>
      <c r="M413" s="5">
        <v>2.9</v>
      </c>
      <c r="N413" s="5">
        <f>SUM(M413)/(I413)</f>
        <v>3.1868131868131866</v>
      </c>
      <c r="O413" s="5">
        <f>SUM(M413*2000)/(J413)</f>
        <v>3.8283828382838285</v>
      </c>
      <c r="P413" s="8">
        <v>38646</v>
      </c>
      <c r="Q413" s="6">
        <v>25.8</v>
      </c>
      <c r="R413" s="5">
        <v>3.36</v>
      </c>
      <c r="S413" s="6">
        <v>6.4</v>
      </c>
      <c r="T413" s="3"/>
    </row>
    <row r="414" spans="1:20" s="4" customFormat="1" ht="15" customHeight="1" x14ac:dyDescent="0.2">
      <c r="A414" s="4">
        <v>2005</v>
      </c>
      <c r="B414" s="4" t="s">
        <v>91</v>
      </c>
      <c r="C414" s="4">
        <v>2</v>
      </c>
      <c r="D414" s="4">
        <v>2</v>
      </c>
      <c r="E414" s="4" t="s">
        <v>38</v>
      </c>
      <c r="F414" s="4">
        <v>181</v>
      </c>
      <c r="G414" s="4">
        <v>1998</v>
      </c>
      <c r="H414" s="4" t="s">
        <v>41</v>
      </c>
      <c r="I414" s="5">
        <v>3.27</v>
      </c>
      <c r="J414" s="3">
        <v>4500</v>
      </c>
      <c r="K414" s="3">
        <f t="shared" si="33"/>
        <v>1376.1467889908256</v>
      </c>
      <c r="L414" s="3">
        <v>190</v>
      </c>
      <c r="M414" s="5">
        <v>9.1999999999999993</v>
      </c>
      <c r="N414" s="5">
        <f>SUM(M414)/I414</f>
        <v>2.8134556574923546</v>
      </c>
      <c r="O414" s="5">
        <f>SUM(M414*2000)/J414</f>
        <v>4.0888888888888886</v>
      </c>
      <c r="P414" s="8">
        <v>38643</v>
      </c>
      <c r="Q414" s="6">
        <v>25.2</v>
      </c>
      <c r="R414" s="5">
        <v>3.52</v>
      </c>
      <c r="S414" s="6">
        <v>5.3</v>
      </c>
      <c r="T414" s="3"/>
    </row>
    <row r="415" spans="1:20" s="4" customFormat="1" ht="15" customHeight="1" x14ac:dyDescent="0.2">
      <c r="A415" s="4">
        <v>2005</v>
      </c>
      <c r="B415" s="4" t="s">
        <v>91</v>
      </c>
      <c r="C415" s="4">
        <v>2</v>
      </c>
      <c r="D415" s="4">
        <v>7</v>
      </c>
      <c r="E415" s="4" t="s">
        <v>38</v>
      </c>
      <c r="F415" s="4">
        <v>347</v>
      </c>
      <c r="G415" s="4">
        <v>1998</v>
      </c>
      <c r="H415" s="4" t="s">
        <v>14</v>
      </c>
      <c r="I415" s="5">
        <v>3.27</v>
      </c>
      <c r="J415" s="3">
        <v>4500</v>
      </c>
      <c r="K415" s="3">
        <f t="shared" si="33"/>
        <v>1376.1467889908256</v>
      </c>
      <c r="L415" s="3">
        <v>280</v>
      </c>
      <c r="M415" s="5">
        <v>16</v>
      </c>
      <c r="N415" s="5">
        <f>SUM(M415)/I415</f>
        <v>4.8929663608562688</v>
      </c>
      <c r="O415" s="5">
        <f>SUM(M415*2000)/J415</f>
        <v>7.1111111111111107</v>
      </c>
      <c r="P415" s="8">
        <v>38646</v>
      </c>
      <c r="Q415" s="6">
        <v>24</v>
      </c>
      <c r="R415" s="5">
        <v>3.42</v>
      </c>
      <c r="S415" s="6">
        <v>5.5</v>
      </c>
      <c r="T415" s="3"/>
    </row>
    <row r="416" spans="1:20" s="4" customFormat="1" ht="15" customHeight="1" x14ac:dyDescent="0.2">
      <c r="A416" s="4">
        <v>2005</v>
      </c>
      <c r="B416" s="4" t="s">
        <v>91</v>
      </c>
      <c r="C416" s="4">
        <v>2</v>
      </c>
      <c r="D416" s="4">
        <v>8</v>
      </c>
      <c r="E416" s="4" t="s">
        <v>38</v>
      </c>
      <c r="F416" s="4">
        <v>346</v>
      </c>
      <c r="G416" s="4">
        <v>1998</v>
      </c>
      <c r="H416" s="4" t="s">
        <v>14</v>
      </c>
      <c r="I416" s="5">
        <v>1.1599999999999999</v>
      </c>
      <c r="J416" s="3">
        <v>1600</v>
      </c>
      <c r="K416" s="3">
        <f t="shared" si="33"/>
        <v>1379.3103448275863</v>
      </c>
      <c r="L416" s="3">
        <v>218</v>
      </c>
      <c r="M416" s="5">
        <v>4.7</v>
      </c>
      <c r="N416" s="5">
        <f>SUM(M416)/I416</f>
        <v>4.0517241379310347</v>
      </c>
      <c r="O416" s="5">
        <f>SUM(M416*2000)/J416</f>
        <v>5.875</v>
      </c>
      <c r="P416" s="8">
        <v>38645</v>
      </c>
      <c r="Q416" s="6">
        <v>24</v>
      </c>
      <c r="R416" s="5">
        <v>3.45</v>
      </c>
      <c r="S416" s="6">
        <v>5.6</v>
      </c>
      <c r="T416" s="3"/>
    </row>
    <row r="417" spans="1:20" s="4" customFormat="1" ht="15" customHeight="1" x14ac:dyDescent="0.2">
      <c r="A417" s="4">
        <v>2005</v>
      </c>
      <c r="B417" s="4" t="s">
        <v>91</v>
      </c>
      <c r="C417" s="4">
        <v>6</v>
      </c>
      <c r="D417" s="9">
        <v>0.5</v>
      </c>
      <c r="E417" s="4" t="s">
        <v>38</v>
      </c>
      <c r="F417" s="4">
        <v>181</v>
      </c>
      <c r="G417" s="4">
        <v>2003</v>
      </c>
      <c r="H417" s="4" t="s">
        <v>34</v>
      </c>
      <c r="I417" s="5">
        <v>4.4000000000000004</v>
      </c>
      <c r="J417" s="3">
        <v>8263</v>
      </c>
      <c r="K417" s="3">
        <v>1877</v>
      </c>
      <c r="L417" s="3">
        <v>196</v>
      </c>
      <c r="M417" s="5">
        <v>9.4</v>
      </c>
      <c r="N417" s="5">
        <f>SUM(M417/I417)</f>
        <v>2.1363636363636362</v>
      </c>
      <c r="O417" s="5">
        <f>SUM(M417*2000)/J417</f>
        <v>2.2752027108798258</v>
      </c>
      <c r="P417" s="8">
        <v>38628</v>
      </c>
      <c r="Q417" s="6">
        <v>25.2</v>
      </c>
      <c r="R417" s="5">
        <v>3.7</v>
      </c>
      <c r="S417" s="6">
        <v>6.1</v>
      </c>
      <c r="T417" s="3"/>
    </row>
    <row r="418" spans="1:20" s="4" customFormat="1" ht="15" customHeight="1" x14ac:dyDescent="0.2">
      <c r="A418" s="4">
        <v>2006</v>
      </c>
      <c r="B418" s="4" t="s">
        <v>91</v>
      </c>
      <c r="C418" s="4">
        <v>1</v>
      </c>
      <c r="D418" s="4">
        <v>1</v>
      </c>
      <c r="E418" s="4" t="s">
        <v>38</v>
      </c>
      <c r="F418" s="4" t="s">
        <v>39</v>
      </c>
      <c r="G418" s="4">
        <v>1997</v>
      </c>
      <c r="H418" s="4" t="s">
        <v>40</v>
      </c>
      <c r="I418" s="5">
        <v>0.91</v>
      </c>
      <c r="J418" s="3">
        <v>1515</v>
      </c>
      <c r="K418" s="3">
        <f>SUM(J418/I418)</f>
        <v>1664.8351648351647</v>
      </c>
      <c r="L418" s="3">
        <v>206</v>
      </c>
      <c r="M418" s="5">
        <v>4.7</v>
      </c>
      <c r="N418" s="5">
        <f>SUM(M418)/(I418)</f>
        <v>5.1648351648351651</v>
      </c>
      <c r="O418" s="5">
        <f>SUM(M418*2000)/(J418)</f>
        <v>6.2046204620462042</v>
      </c>
      <c r="P418" s="8">
        <v>39024</v>
      </c>
      <c r="Q418" s="6">
        <v>24</v>
      </c>
      <c r="R418" s="5">
        <v>3.68</v>
      </c>
      <c r="S418" s="6">
        <v>5.6</v>
      </c>
      <c r="T418" s="3"/>
    </row>
    <row r="419" spans="1:20" s="4" customFormat="1" ht="15" customHeight="1" x14ac:dyDescent="0.2">
      <c r="A419" s="4">
        <v>2006</v>
      </c>
      <c r="B419" s="4" t="s">
        <v>91</v>
      </c>
      <c r="C419" s="4">
        <v>2</v>
      </c>
      <c r="D419" s="4">
        <v>2</v>
      </c>
      <c r="E419" s="4" t="s">
        <v>38</v>
      </c>
      <c r="F419" s="4">
        <v>181</v>
      </c>
      <c r="G419" s="4">
        <v>1998</v>
      </c>
      <c r="H419" s="4" t="s">
        <v>41</v>
      </c>
      <c r="I419" s="5">
        <v>3.27</v>
      </c>
      <c r="J419" s="3">
        <v>4500</v>
      </c>
      <c r="K419" s="3">
        <f>SUM(J419/I419)</f>
        <v>1376.1467889908256</v>
      </c>
      <c r="L419" s="3">
        <v>212</v>
      </c>
      <c r="M419" s="5">
        <v>25.7</v>
      </c>
      <c r="N419" s="5">
        <f>SUM(M419)/I419</f>
        <v>7.8593272171253821</v>
      </c>
      <c r="O419" s="5">
        <f>SUM(M419*2000)/J419</f>
        <v>11.422222222222222</v>
      </c>
      <c r="P419" s="8">
        <v>39017</v>
      </c>
      <c r="Q419" s="6">
        <v>25</v>
      </c>
      <c r="R419" s="5">
        <v>3.64</v>
      </c>
      <c r="S419" s="6">
        <v>5.0999999999999996</v>
      </c>
      <c r="T419" s="3"/>
    </row>
    <row r="420" spans="1:20" s="4" customFormat="1" ht="15" customHeight="1" x14ac:dyDescent="0.2">
      <c r="A420" s="4">
        <v>2006</v>
      </c>
      <c r="B420" s="4" t="s">
        <v>91</v>
      </c>
      <c r="C420" s="4">
        <v>2</v>
      </c>
      <c r="D420" s="4">
        <v>7</v>
      </c>
      <c r="E420" s="4" t="s">
        <v>38</v>
      </c>
      <c r="F420" s="4">
        <v>347</v>
      </c>
      <c r="G420" s="4">
        <v>1998</v>
      </c>
      <c r="H420" s="4" t="s">
        <v>14</v>
      </c>
      <c r="I420" s="5">
        <v>3.27</v>
      </c>
      <c r="J420" s="3">
        <v>4500</v>
      </c>
      <c r="K420" s="3">
        <f>SUM(J420/I420)</f>
        <v>1376.1467889908256</v>
      </c>
      <c r="L420" s="3">
        <v>255</v>
      </c>
      <c r="M420" s="5">
        <v>21.7</v>
      </c>
      <c r="N420" s="5">
        <f>SUM(M420)/I420</f>
        <v>6.6360856269113144</v>
      </c>
      <c r="O420" s="5">
        <f>SUM(M420*2000)/J420</f>
        <v>9.6444444444444439</v>
      </c>
      <c r="P420" s="8">
        <v>39022</v>
      </c>
      <c r="Q420" s="6">
        <v>23.2</v>
      </c>
      <c r="R420" s="5">
        <v>3.74</v>
      </c>
      <c r="S420" s="6">
        <v>4.7</v>
      </c>
      <c r="T420" s="3"/>
    </row>
    <row r="421" spans="1:20" s="4" customFormat="1" ht="15" customHeight="1" x14ac:dyDescent="0.2">
      <c r="A421" s="4">
        <v>2006</v>
      </c>
      <c r="B421" s="4" t="s">
        <v>91</v>
      </c>
      <c r="C421" s="4">
        <v>2</v>
      </c>
      <c r="D421" s="4">
        <v>8</v>
      </c>
      <c r="E421" s="4" t="s">
        <v>38</v>
      </c>
      <c r="F421" s="4">
        <v>346</v>
      </c>
      <c r="G421" s="4">
        <v>1998</v>
      </c>
      <c r="H421" s="4" t="s">
        <v>14</v>
      </c>
      <c r="I421" s="5">
        <v>1.1599999999999999</v>
      </c>
      <c r="J421" s="3">
        <v>1600</v>
      </c>
      <c r="K421" s="3">
        <f>SUM(J421/I421)</f>
        <v>1379.3103448275863</v>
      </c>
      <c r="L421" s="3">
        <v>255</v>
      </c>
      <c r="M421" s="5">
        <v>7</v>
      </c>
      <c r="N421" s="5">
        <f>SUM(M421)/I421</f>
        <v>6.0344827586206904</v>
      </c>
      <c r="O421" s="5">
        <f>SUM(M421*2000)/J421</f>
        <v>8.75</v>
      </c>
      <c r="P421" s="8">
        <v>39022</v>
      </c>
      <c r="Q421" s="6">
        <v>23.2</v>
      </c>
      <c r="R421" s="5">
        <v>3.74</v>
      </c>
      <c r="S421" s="6">
        <v>4.7</v>
      </c>
      <c r="T421" s="3"/>
    </row>
    <row r="422" spans="1:20" s="4" customFormat="1" ht="15" customHeight="1" x14ac:dyDescent="0.2">
      <c r="A422" s="4">
        <v>2006</v>
      </c>
      <c r="B422" s="4" t="s">
        <v>91</v>
      </c>
      <c r="C422" s="4">
        <v>6</v>
      </c>
      <c r="D422" s="9">
        <v>0.5</v>
      </c>
      <c r="E422" s="4" t="s">
        <v>38</v>
      </c>
      <c r="F422" s="4">
        <v>181</v>
      </c>
      <c r="G422" s="4">
        <v>2003</v>
      </c>
      <c r="H422" s="4" t="s">
        <v>34</v>
      </c>
      <c r="I422" s="5">
        <v>4.4000000000000004</v>
      </c>
      <c r="J422" s="3">
        <v>8263</v>
      </c>
      <c r="K422" s="3">
        <v>1877</v>
      </c>
      <c r="L422" s="3">
        <v>147</v>
      </c>
      <c r="M422" s="5">
        <v>21.2</v>
      </c>
      <c r="N422" s="5">
        <f>SUM(M422/I422)</f>
        <v>4.8181818181818175</v>
      </c>
      <c r="O422" s="5">
        <f>SUM(M422*2000)/J422</f>
        <v>5.1313082415587559</v>
      </c>
      <c r="P422" s="8">
        <v>39010</v>
      </c>
      <c r="Q422" s="6">
        <v>24.6</v>
      </c>
      <c r="R422" s="5">
        <v>3.69</v>
      </c>
      <c r="S422" s="6">
        <v>4.5</v>
      </c>
      <c r="T422" s="3"/>
    </row>
    <row r="423" spans="1:20" s="4" customFormat="1" ht="15" customHeight="1" x14ac:dyDescent="0.2">
      <c r="A423" s="4">
        <v>2007</v>
      </c>
      <c r="B423" s="4" t="s">
        <v>91</v>
      </c>
      <c r="C423" s="4">
        <v>1</v>
      </c>
      <c r="D423" s="4">
        <v>1</v>
      </c>
      <c r="E423" s="4" t="s">
        <v>38</v>
      </c>
      <c r="F423" s="4" t="s">
        <v>39</v>
      </c>
      <c r="G423" s="4">
        <v>1997</v>
      </c>
      <c r="H423" s="4" t="s">
        <v>40</v>
      </c>
      <c r="I423" s="5">
        <v>0.91</v>
      </c>
      <c r="J423" s="3">
        <v>1515</v>
      </c>
      <c r="K423" s="3">
        <f>SUM(J423/I423)</f>
        <v>1664.8351648351647</v>
      </c>
      <c r="L423" s="3">
        <v>158</v>
      </c>
      <c r="M423" s="5">
        <v>1.7</v>
      </c>
      <c r="N423" s="5">
        <f>SUM(M423)/(I423)</f>
        <v>1.8681318681318679</v>
      </c>
      <c r="O423" s="5">
        <f>SUM(M423*2000)/(J423)</f>
        <v>2.2442244224422443</v>
      </c>
      <c r="P423" s="8">
        <v>39379</v>
      </c>
      <c r="Q423" s="6">
        <v>24.8</v>
      </c>
      <c r="R423" s="5">
        <v>3.58</v>
      </c>
      <c r="S423" s="6">
        <v>5.9</v>
      </c>
      <c r="T423" s="3"/>
    </row>
    <row r="424" spans="1:20" s="4" customFormat="1" ht="15" customHeight="1" x14ac:dyDescent="0.2">
      <c r="A424" s="4">
        <v>2007</v>
      </c>
      <c r="B424" s="4" t="s">
        <v>91</v>
      </c>
      <c r="C424" s="4">
        <v>2</v>
      </c>
      <c r="D424" s="4">
        <v>2</v>
      </c>
      <c r="E424" s="4" t="s">
        <v>38</v>
      </c>
      <c r="F424" s="4">
        <v>181</v>
      </c>
      <c r="G424" s="4">
        <v>1998</v>
      </c>
      <c r="H424" s="4" t="s">
        <v>41</v>
      </c>
      <c r="I424" s="5">
        <v>3.27</v>
      </c>
      <c r="J424" s="3">
        <v>4500</v>
      </c>
      <c r="K424" s="3">
        <f>SUM(J424/I424)</f>
        <v>1376.1467889908256</v>
      </c>
      <c r="L424" s="3">
        <v>210</v>
      </c>
      <c r="M424" s="5">
        <v>8.9</v>
      </c>
      <c r="N424" s="5">
        <f>SUM(M424)/I424</f>
        <v>2.7217125382262997</v>
      </c>
      <c r="O424" s="5">
        <f>SUM(M424*2000)/J424</f>
        <v>3.9555555555555557</v>
      </c>
      <c r="P424" s="8">
        <v>39379</v>
      </c>
      <c r="Q424" s="6">
        <v>25.2</v>
      </c>
      <c r="R424" s="5">
        <v>3.59</v>
      </c>
      <c r="S424" s="6">
        <v>6.5</v>
      </c>
      <c r="T424" s="3"/>
    </row>
    <row r="425" spans="1:20" s="4" customFormat="1" ht="15" customHeight="1" x14ac:dyDescent="0.2">
      <c r="A425" s="4">
        <v>2007</v>
      </c>
      <c r="B425" s="4" t="s">
        <v>91</v>
      </c>
      <c r="C425" s="4">
        <v>2</v>
      </c>
      <c r="D425" s="4">
        <v>7</v>
      </c>
      <c r="E425" s="4" t="s">
        <v>38</v>
      </c>
      <c r="F425" s="4">
        <v>347</v>
      </c>
      <c r="G425" s="4">
        <v>1998</v>
      </c>
      <c r="H425" s="4" t="s">
        <v>14</v>
      </c>
      <c r="I425" s="5">
        <v>3.27</v>
      </c>
      <c r="J425" s="3">
        <v>4500</v>
      </c>
      <c r="K425" s="3">
        <f>SUM(J425/I425)</f>
        <v>1376.1467889908256</v>
      </c>
      <c r="L425" s="3">
        <v>158</v>
      </c>
      <c r="M425" s="5">
        <v>10.1</v>
      </c>
      <c r="N425" s="5">
        <f>SUM(M425)/I425</f>
        <v>3.0886850152905199</v>
      </c>
      <c r="O425" s="5">
        <f>SUM(M425*2000)/J425</f>
        <v>4.4888888888888889</v>
      </c>
      <c r="P425" s="8">
        <v>39379</v>
      </c>
      <c r="Q425" s="6">
        <v>22.4</v>
      </c>
      <c r="R425" s="5">
        <v>3.51</v>
      </c>
      <c r="S425" s="6">
        <v>5.7</v>
      </c>
      <c r="T425" s="3"/>
    </row>
    <row r="426" spans="1:20" s="4" customFormat="1" ht="15" customHeight="1" x14ac:dyDescent="0.2">
      <c r="A426" s="4">
        <v>2007</v>
      </c>
      <c r="B426" s="4" t="s">
        <v>91</v>
      </c>
      <c r="C426" s="4">
        <v>2</v>
      </c>
      <c r="D426" s="4">
        <v>8</v>
      </c>
      <c r="E426" s="4" t="s">
        <v>38</v>
      </c>
      <c r="F426" s="4">
        <v>346</v>
      </c>
      <c r="G426" s="4">
        <v>1998</v>
      </c>
      <c r="H426" s="4" t="s">
        <v>14</v>
      </c>
      <c r="I426" s="5">
        <v>1.1599999999999999</v>
      </c>
      <c r="J426" s="3">
        <v>1600</v>
      </c>
      <c r="K426" s="3">
        <f>SUM(J426/I426)</f>
        <v>1379.3103448275863</v>
      </c>
      <c r="L426" s="3">
        <v>158</v>
      </c>
      <c r="M426" s="5">
        <v>1.1000000000000001</v>
      </c>
      <c r="N426" s="5">
        <f>SUM(M426)/I426</f>
        <v>0.94827586206896564</v>
      </c>
      <c r="O426" s="5">
        <f>SUM(M426*2000)/J426</f>
        <v>1.375</v>
      </c>
      <c r="P426" s="8">
        <v>39379</v>
      </c>
      <c r="Q426" s="6">
        <v>22.4</v>
      </c>
      <c r="R426" s="5">
        <v>3.51</v>
      </c>
      <c r="S426" s="6">
        <v>5.7</v>
      </c>
      <c r="T426" s="3"/>
    </row>
    <row r="427" spans="1:20" s="4" customFormat="1" ht="15" customHeight="1" x14ac:dyDescent="0.2">
      <c r="A427" s="4">
        <v>2007</v>
      </c>
      <c r="B427" s="4" t="s">
        <v>91</v>
      </c>
      <c r="C427" s="4">
        <v>6</v>
      </c>
      <c r="D427" s="9">
        <v>0.5</v>
      </c>
      <c r="E427" s="4" t="s">
        <v>38</v>
      </c>
      <c r="F427" s="4">
        <v>181</v>
      </c>
      <c r="G427" s="4">
        <v>2003</v>
      </c>
      <c r="H427" s="4" t="s">
        <v>34</v>
      </c>
      <c r="I427" s="5">
        <v>4.4000000000000004</v>
      </c>
      <c r="J427" s="3">
        <v>8263</v>
      </c>
      <c r="K427" s="3">
        <v>1877</v>
      </c>
      <c r="L427" s="3">
        <v>175</v>
      </c>
      <c r="M427" s="5">
        <v>18.8</v>
      </c>
      <c r="N427" s="5">
        <f>SUM(M427/I427)</f>
        <v>4.2727272727272725</v>
      </c>
      <c r="O427" s="5">
        <f>SUM(M427*2000)/J427</f>
        <v>4.5504054217596517</v>
      </c>
      <c r="P427" s="8">
        <v>39382</v>
      </c>
      <c r="Q427" s="6">
        <v>25.2</v>
      </c>
      <c r="R427" s="5">
        <v>3.72</v>
      </c>
      <c r="S427" s="6">
        <v>4.9000000000000004</v>
      </c>
      <c r="T427" s="3"/>
    </row>
    <row r="428" spans="1:20" s="4" customFormat="1" ht="15" customHeight="1" x14ac:dyDescent="0.2">
      <c r="A428" s="4">
        <v>2008</v>
      </c>
      <c r="B428" s="4" t="s">
        <v>91</v>
      </c>
      <c r="C428" s="4">
        <v>1</v>
      </c>
      <c r="D428" s="4">
        <v>1</v>
      </c>
      <c r="E428" s="4" t="s">
        <v>38</v>
      </c>
      <c r="F428" s="4" t="s">
        <v>39</v>
      </c>
      <c r="G428" s="4">
        <v>1997</v>
      </c>
      <c r="H428" s="4" t="s">
        <v>40</v>
      </c>
      <c r="I428" s="5">
        <v>0.91</v>
      </c>
      <c r="J428" s="3">
        <v>1515</v>
      </c>
      <c r="K428" s="3">
        <f>SUM(J428/I428)</f>
        <v>1664.8351648351647</v>
      </c>
      <c r="L428" s="3">
        <v>235</v>
      </c>
      <c r="M428" s="5">
        <v>3.9</v>
      </c>
      <c r="N428" s="5">
        <f>SUM(M428)/(I428)</f>
        <v>4.2857142857142856</v>
      </c>
      <c r="O428" s="5">
        <f>SUM(M428*2000)/(J428)</f>
        <v>5.1485148514851486</v>
      </c>
      <c r="P428" s="8">
        <v>39751</v>
      </c>
      <c r="Q428" s="6">
        <v>27</v>
      </c>
      <c r="R428" s="5">
        <v>3.62</v>
      </c>
      <c r="S428" s="6">
        <v>9.5</v>
      </c>
      <c r="T428" s="3"/>
    </row>
    <row r="429" spans="1:20" s="4" customFormat="1" ht="15" customHeight="1" x14ac:dyDescent="0.2">
      <c r="A429" s="4">
        <v>2008</v>
      </c>
      <c r="B429" s="4" t="s">
        <v>91</v>
      </c>
      <c r="C429" s="4">
        <v>2</v>
      </c>
      <c r="D429" s="4">
        <v>2</v>
      </c>
      <c r="E429" s="4" t="s">
        <v>38</v>
      </c>
      <c r="F429" s="4">
        <v>181</v>
      </c>
      <c r="G429" s="4">
        <v>1998</v>
      </c>
      <c r="H429" s="4" t="s">
        <v>41</v>
      </c>
      <c r="I429" s="5">
        <v>3.27</v>
      </c>
      <c r="J429" s="3">
        <v>4500</v>
      </c>
      <c r="K429" s="3">
        <f>SUM(J429/I429)</f>
        <v>1376.1467889908256</v>
      </c>
      <c r="L429" s="3">
        <v>200</v>
      </c>
      <c r="M429" s="5">
        <v>12.9</v>
      </c>
      <c r="N429" s="5">
        <f>SUM(M429)/I429</f>
        <v>3.9449541284403669</v>
      </c>
      <c r="O429" s="5">
        <f>SUM(M429*2000)/J429</f>
        <v>5.7333333333333334</v>
      </c>
      <c r="P429" s="8">
        <v>39751</v>
      </c>
      <c r="Q429" s="6">
        <v>27</v>
      </c>
      <c r="R429" s="5">
        <v>3.68</v>
      </c>
      <c r="S429" s="6">
        <v>8.5</v>
      </c>
      <c r="T429" s="3"/>
    </row>
    <row r="430" spans="1:20" s="4" customFormat="1" ht="15" customHeight="1" x14ac:dyDescent="0.2">
      <c r="A430" s="4">
        <v>2008</v>
      </c>
      <c r="B430" s="4" t="s">
        <v>91</v>
      </c>
      <c r="C430" s="4">
        <v>2</v>
      </c>
      <c r="D430" s="4">
        <v>7</v>
      </c>
      <c r="E430" s="4" t="s">
        <v>38</v>
      </c>
      <c r="F430" s="4">
        <v>347</v>
      </c>
      <c r="G430" s="4">
        <v>1998</v>
      </c>
      <c r="H430" s="4" t="s">
        <v>14</v>
      </c>
      <c r="I430" s="5">
        <v>3.27</v>
      </c>
      <c r="J430" s="3">
        <v>4500</v>
      </c>
      <c r="K430" s="3">
        <f>SUM(J430/I430)</f>
        <v>1376.1467889908256</v>
      </c>
      <c r="L430" s="3">
        <v>185</v>
      </c>
      <c r="M430" s="5">
        <v>9.9</v>
      </c>
      <c r="N430" s="5">
        <f>SUM(M430)/I430</f>
        <v>3.0275229357798166</v>
      </c>
      <c r="O430" s="5">
        <f>SUM(M430*2000)/J430</f>
        <v>4.4000000000000004</v>
      </c>
      <c r="P430" s="8">
        <v>39750</v>
      </c>
      <c r="Q430" s="6">
        <v>28</v>
      </c>
      <c r="R430" s="5">
        <v>3.49</v>
      </c>
      <c r="S430" s="6">
        <v>7.5</v>
      </c>
      <c r="T430" s="3"/>
    </row>
    <row r="431" spans="1:20" s="4" customFormat="1" ht="15" customHeight="1" x14ac:dyDescent="0.2">
      <c r="A431" s="4">
        <v>2008</v>
      </c>
      <c r="B431" s="4" t="s">
        <v>91</v>
      </c>
      <c r="C431" s="4">
        <v>2</v>
      </c>
      <c r="D431" s="4">
        <v>8</v>
      </c>
      <c r="E431" s="4" t="s">
        <v>38</v>
      </c>
      <c r="F431" s="4">
        <v>346</v>
      </c>
      <c r="G431" s="4">
        <v>1998</v>
      </c>
      <c r="H431" s="4" t="s">
        <v>14</v>
      </c>
      <c r="I431" s="5">
        <v>1.1599999999999999</v>
      </c>
      <c r="J431" s="3">
        <v>1600</v>
      </c>
      <c r="K431" s="3">
        <f>SUM(J431/I431)</f>
        <v>1379.3103448275863</v>
      </c>
      <c r="L431" s="3">
        <v>185</v>
      </c>
      <c r="M431" s="5">
        <v>4</v>
      </c>
      <c r="N431" s="5">
        <f>SUM(M431)/I431</f>
        <v>3.4482758620689657</v>
      </c>
      <c r="O431" s="5">
        <f>SUM(M431*2000)/J431</f>
        <v>5</v>
      </c>
      <c r="P431" s="8">
        <v>39750</v>
      </c>
      <c r="Q431" s="6">
        <v>27</v>
      </c>
      <c r="R431" s="5">
        <v>3.5</v>
      </c>
      <c r="S431" s="6">
        <v>8.3000000000000007</v>
      </c>
      <c r="T431" s="3"/>
    </row>
    <row r="432" spans="1:20" s="4" customFormat="1" ht="15" customHeight="1" x14ac:dyDescent="0.2">
      <c r="A432" s="4">
        <v>2008</v>
      </c>
      <c r="B432" s="4" t="s">
        <v>91</v>
      </c>
      <c r="C432" s="4">
        <v>2</v>
      </c>
      <c r="D432" s="4">
        <v>9</v>
      </c>
      <c r="E432" s="4" t="s">
        <v>38</v>
      </c>
      <c r="F432" s="4">
        <v>509</v>
      </c>
      <c r="G432" s="4">
        <v>1998</v>
      </c>
      <c r="H432" s="4" t="s">
        <v>14</v>
      </c>
      <c r="I432" s="5">
        <v>0.91</v>
      </c>
      <c r="J432" s="3">
        <v>1257</v>
      </c>
      <c r="K432" s="3">
        <f>SUM(J432/I432)</f>
        <v>1381.3186813186812</v>
      </c>
      <c r="L432" s="3">
        <v>130</v>
      </c>
      <c r="M432" s="5">
        <v>0</v>
      </c>
      <c r="N432" s="5">
        <f>SUM(M432)/I432</f>
        <v>0</v>
      </c>
      <c r="O432" s="5">
        <f>SUM(M432*2000)/J432</f>
        <v>0</v>
      </c>
      <c r="P432" s="8">
        <v>39371</v>
      </c>
      <c r="Q432" s="6">
        <v>22.4</v>
      </c>
      <c r="R432" s="5">
        <v>3.15</v>
      </c>
      <c r="S432" s="6">
        <v>11.1</v>
      </c>
      <c r="T432" s="3"/>
    </row>
    <row r="433" spans="1:20" s="4" customFormat="1" ht="15" customHeight="1" x14ac:dyDescent="0.2">
      <c r="A433" s="4">
        <v>2008</v>
      </c>
      <c r="B433" s="4" t="s">
        <v>91</v>
      </c>
      <c r="C433" s="4">
        <v>6</v>
      </c>
      <c r="D433" s="9">
        <v>0.5</v>
      </c>
      <c r="E433" s="4" t="s">
        <v>38</v>
      </c>
      <c r="F433" s="4">
        <v>181</v>
      </c>
      <c r="G433" s="4">
        <v>2003</v>
      </c>
      <c r="H433" s="4" t="s">
        <v>34</v>
      </c>
      <c r="I433" s="5">
        <v>4.4000000000000004</v>
      </c>
      <c r="J433" s="3">
        <v>8263</v>
      </c>
      <c r="K433" s="3">
        <v>1877</v>
      </c>
      <c r="L433" s="3">
        <v>163</v>
      </c>
      <c r="M433" s="5">
        <v>15.7</v>
      </c>
      <c r="N433" s="5">
        <f>SUM(M433/I433)</f>
        <v>3.5681818181818179</v>
      </c>
      <c r="O433" s="5">
        <f>SUM(M433*2000)/J433</f>
        <v>3.8000726128524751</v>
      </c>
      <c r="P433" s="8">
        <v>39748</v>
      </c>
      <c r="Q433" s="6">
        <v>28</v>
      </c>
      <c r="R433" s="5">
        <v>3.91</v>
      </c>
      <c r="S433" s="6">
        <v>5.4</v>
      </c>
      <c r="T433" s="3"/>
    </row>
    <row r="434" spans="1:20" s="4" customFormat="1" ht="15" customHeight="1" x14ac:dyDescent="0.2">
      <c r="A434" s="4">
        <v>2009</v>
      </c>
      <c r="B434" s="4" t="s">
        <v>91</v>
      </c>
      <c r="C434" s="4">
        <v>1</v>
      </c>
      <c r="D434" s="4">
        <v>1</v>
      </c>
      <c r="E434" s="4" t="s">
        <v>38</v>
      </c>
      <c r="F434" s="4" t="s">
        <v>39</v>
      </c>
      <c r="G434" s="4">
        <v>1997</v>
      </c>
      <c r="H434" s="4" t="s">
        <v>40</v>
      </c>
      <c r="I434" s="5">
        <v>0.91</v>
      </c>
      <c r="J434" s="3">
        <v>1515</v>
      </c>
      <c r="K434" s="3">
        <f>SUM(J434/I434)</f>
        <v>1664.8351648351647</v>
      </c>
      <c r="L434" s="3"/>
      <c r="M434" s="5">
        <v>1.7</v>
      </c>
      <c r="N434" s="5">
        <f>SUM(M434)/(I434)</f>
        <v>1.8681318681318679</v>
      </c>
      <c r="O434" s="5">
        <f>SUM(M434*2000)/(J434)</f>
        <v>2.2442244224422443</v>
      </c>
      <c r="P434" s="8">
        <v>40107</v>
      </c>
      <c r="Q434" s="6">
        <v>27.8</v>
      </c>
      <c r="R434" s="5">
        <v>4.0999999999999996</v>
      </c>
      <c r="S434" s="6">
        <v>4.2</v>
      </c>
      <c r="T434" s="3"/>
    </row>
    <row r="435" spans="1:20" s="4" customFormat="1" ht="15" customHeight="1" x14ac:dyDescent="0.2">
      <c r="A435" s="4">
        <v>2009</v>
      </c>
      <c r="B435" s="4" t="s">
        <v>91</v>
      </c>
      <c r="C435" s="4">
        <v>2</v>
      </c>
      <c r="D435" s="4">
        <v>2</v>
      </c>
      <c r="E435" s="4" t="s">
        <v>38</v>
      </c>
      <c r="F435" s="4">
        <v>181</v>
      </c>
      <c r="G435" s="4">
        <v>1998</v>
      </c>
      <c r="H435" s="4" t="s">
        <v>41</v>
      </c>
      <c r="I435" s="5">
        <v>3.27</v>
      </c>
      <c r="J435" s="3">
        <v>4500</v>
      </c>
      <c r="K435" s="3">
        <f>SUM(J435/I435)</f>
        <v>1376.1467889908256</v>
      </c>
      <c r="L435" s="3">
        <v>200</v>
      </c>
      <c r="M435" s="5">
        <v>14.4</v>
      </c>
      <c r="N435" s="5">
        <f>SUM(M435)/I435</f>
        <v>4.4036697247706424</v>
      </c>
      <c r="O435" s="5">
        <f>SUM(M435*2000)/J435</f>
        <v>6.4</v>
      </c>
      <c r="P435" s="8">
        <v>40107</v>
      </c>
      <c r="Q435" s="6">
        <v>26.8</v>
      </c>
      <c r="R435" s="5">
        <v>3.94</v>
      </c>
      <c r="S435" s="6">
        <v>3.7</v>
      </c>
      <c r="T435" s="3"/>
    </row>
    <row r="436" spans="1:20" s="4" customFormat="1" ht="15" customHeight="1" x14ac:dyDescent="0.2">
      <c r="A436" s="4">
        <v>2009</v>
      </c>
      <c r="B436" s="4" t="s">
        <v>91</v>
      </c>
      <c r="C436" s="4">
        <v>2</v>
      </c>
      <c r="D436" s="4">
        <v>7</v>
      </c>
      <c r="E436" s="4" t="s">
        <v>38</v>
      </c>
      <c r="F436" s="4">
        <v>347</v>
      </c>
      <c r="G436" s="4">
        <v>1998</v>
      </c>
      <c r="H436" s="4" t="s">
        <v>14</v>
      </c>
      <c r="I436" s="5">
        <v>3.27</v>
      </c>
      <c r="J436" s="3">
        <v>4500</v>
      </c>
      <c r="K436" s="3">
        <f>SUM(J436/I436)</f>
        <v>1376.1467889908256</v>
      </c>
      <c r="L436" s="3"/>
      <c r="M436" s="5">
        <v>11.5</v>
      </c>
      <c r="N436" s="5">
        <f>SUM(M436)/I436</f>
        <v>3.5168195718654434</v>
      </c>
      <c r="O436" s="5">
        <f>SUM(M436*2000)/J436</f>
        <v>5.1111111111111107</v>
      </c>
      <c r="P436" s="8">
        <v>40107</v>
      </c>
      <c r="Q436" s="6">
        <v>26.4</v>
      </c>
      <c r="R436" s="5">
        <v>3.89</v>
      </c>
      <c r="S436" s="6">
        <v>4</v>
      </c>
      <c r="T436" s="3"/>
    </row>
    <row r="437" spans="1:20" s="4" customFormat="1" ht="15" customHeight="1" x14ac:dyDescent="0.2">
      <c r="A437" s="4">
        <v>2009</v>
      </c>
      <c r="B437" s="4" t="s">
        <v>91</v>
      </c>
      <c r="C437" s="4">
        <v>2</v>
      </c>
      <c r="D437" s="4">
        <v>8</v>
      </c>
      <c r="E437" s="4" t="s">
        <v>38</v>
      </c>
      <c r="F437" s="4">
        <v>346</v>
      </c>
      <c r="G437" s="4">
        <v>1998</v>
      </c>
      <c r="H437" s="4" t="s">
        <v>14</v>
      </c>
      <c r="I437" s="5">
        <v>1.1599999999999999</v>
      </c>
      <c r="J437" s="3">
        <v>1600</v>
      </c>
      <c r="K437" s="3">
        <f>SUM(J437/I437)</f>
        <v>1379.3103448275863</v>
      </c>
      <c r="L437" s="3"/>
      <c r="M437" s="5">
        <v>4.5999999999999996</v>
      </c>
      <c r="N437" s="5">
        <f>SUM(M437)/I437</f>
        <v>3.9655172413793105</v>
      </c>
      <c r="O437" s="5">
        <f>SUM(M437*2000)/J437</f>
        <v>5.75</v>
      </c>
      <c r="P437" s="8">
        <v>40108</v>
      </c>
      <c r="Q437" s="6">
        <v>27.2</v>
      </c>
      <c r="R437" s="5">
        <v>3.98</v>
      </c>
      <c r="S437" s="6">
        <v>4</v>
      </c>
      <c r="T437" s="3"/>
    </row>
    <row r="438" spans="1:20" s="4" customFormat="1" ht="15" customHeight="1" x14ac:dyDescent="0.2">
      <c r="A438" s="4">
        <v>2009</v>
      </c>
      <c r="B438" s="4" t="s">
        <v>91</v>
      </c>
      <c r="C438" s="4">
        <v>6</v>
      </c>
      <c r="D438" s="9">
        <v>0.5</v>
      </c>
      <c r="E438" s="4" t="s">
        <v>38</v>
      </c>
      <c r="F438" s="4">
        <v>181</v>
      </c>
      <c r="G438" s="4">
        <v>2003</v>
      </c>
      <c r="H438" s="4" t="s">
        <v>34</v>
      </c>
      <c r="I438" s="5">
        <v>4.4000000000000004</v>
      </c>
      <c r="J438" s="3">
        <v>8263</v>
      </c>
      <c r="K438" s="3">
        <v>1877</v>
      </c>
      <c r="L438" s="3"/>
      <c r="M438" s="5">
        <v>14.3</v>
      </c>
      <c r="N438" s="5">
        <f>SUM(M438/I438)</f>
        <v>3.25</v>
      </c>
      <c r="O438" s="5">
        <f>SUM(M438*2000)/J438</f>
        <v>3.4612126346363308</v>
      </c>
      <c r="P438" s="8">
        <v>40107</v>
      </c>
      <c r="Q438" s="6">
        <v>27.8</v>
      </c>
      <c r="R438" s="5">
        <v>4.0999999999999996</v>
      </c>
      <c r="S438" s="6">
        <v>4.2</v>
      </c>
      <c r="T438" s="3"/>
    </row>
    <row r="439" spans="1:20" s="4" customFormat="1" ht="15" customHeight="1" x14ac:dyDescent="0.2">
      <c r="A439" s="4">
        <v>2010</v>
      </c>
      <c r="B439" s="4" t="s">
        <v>91</v>
      </c>
      <c r="C439" s="4">
        <v>1</v>
      </c>
      <c r="D439" s="4">
        <v>1</v>
      </c>
      <c r="E439" s="4" t="s">
        <v>38</v>
      </c>
      <c r="F439" s="4" t="s">
        <v>39</v>
      </c>
      <c r="G439" s="4">
        <v>1997</v>
      </c>
      <c r="H439" s="4" t="s">
        <v>40</v>
      </c>
      <c r="I439" s="5">
        <v>0.91</v>
      </c>
      <c r="J439" s="3">
        <v>1515</v>
      </c>
      <c r="K439" s="3">
        <f>SUM(J439/I439)</f>
        <v>1664.8351648351647</v>
      </c>
      <c r="L439" s="3"/>
      <c r="M439" s="5">
        <v>2.7</v>
      </c>
      <c r="N439" s="5">
        <f>SUM(M439)/(I439)</f>
        <v>2.9670329670329672</v>
      </c>
      <c r="O439" s="5">
        <f>SUM(M439*2000)/(J439)</f>
        <v>3.5643564356435644</v>
      </c>
      <c r="P439" s="8">
        <v>40464</v>
      </c>
      <c r="Q439" s="6">
        <v>26.8</v>
      </c>
      <c r="R439" s="5">
        <v>3.44</v>
      </c>
      <c r="S439" s="6">
        <v>10.5</v>
      </c>
      <c r="T439" s="3"/>
    </row>
    <row r="440" spans="1:20" s="4" customFormat="1" ht="15" customHeight="1" x14ac:dyDescent="0.2">
      <c r="A440" s="4">
        <v>2010</v>
      </c>
      <c r="B440" s="4" t="s">
        <v>91</v>
      </c>
      <c r="C440" s="4">
        <v>2</v>
      </c>
      <c r="D440" s="4">
        <v>2</v>
      </c>
      <c r="E440" s="4" t="s">
        <v>38</v>
      </c>
      <c r="F440" s="4">
        <v>181</v>
      </c>
      <c r="G440" s="4">
        <v>1998</v>
      </c>
      <c r="H440" s="4" t="s">
        <v>41</v>
      </c>
      <c r="I440" s="5">
        <v>3.27</v>
      </c>
      <c r="J440" s="3">
        <v>4500</v>
      </c>
      <c r="K440" s="3">
        <f>SUM(J440/I440)</f>
        <v>1376.1467889908256</v>
      </c>
      <c r="L440" s="3"/>
      <c r="M440" s="5">
        <v>14.3</v>
      </c>
      <c r="N440" s="5">
        <f>SUM(M440)/I440</f>
        <v>4.3730886850152908</v>
      </c>
      <c r="O440" s="5">
        <f>SUM(M440*2000)/J440</f>
        <v>6.3555555555555552</v>
      </c>
      <c r="P440" s="8">
        <v>40480</v>
      </c>
      <c r="Q440" s="6">
        <v>25.4</v>
      </c>
      <c r="R440" s="5">
        <v>3.53</v>
      </c>
      <c r="S440" s="6">
        <v>9.5</v>
      </c>
      <c r="T440" s="3"/>
    </row>
    <row r="441" spans="1:20" s="4" customFormat="1" ht="15" customHeight="1" x14ac:dyDescent="0.2">
      <c r="A441" s="4">
        <v>2010</v>
      </c>
      <c r="B441" s="4" t="s">
        <v>91</v>
      </c>
      <c r="C441" s="4">
        <v>2</v>
      </c>
      <c r="D441" s="4">
        <v>7</v>
      </c>
      <c r="E441" s="4" t="s">
        <v>38</v>
      </c>
      <c r="F441" s="4">
        <v>347</v>
      </c>
      <c r="G441" s="4">
        <v>1998</v>
      </c>
      <c r="H441" s="4" t="s">
        <v>14</v>
      </c>
      <c r="I441" s="5">
        <v>3.27</v>
      </c>
      <c r="J441" s="3">
        <v>4500</v>
      </c>
      <c r="K441" s="3">
        <f>SUM(J441/I441)</f>
        <v>1376.1467889908256</v>
      </c>
      <c r="L441" s="3">
        <v>180</v>
      </c>
      <c r="M441" s="5">
        <v>11.1</v>
      </c>
      <c r="N441" s="5">
        <f>SUM(M441)/I441</f>
        <v>3.3944954128440368</v>
      </c>
      <c r="O441" s="5">
        <f>SUM(M441*2000)/J441</f>
        <v>4.9333333333333336</v>
      </c>
      <c r="P441" s="8">
        <v>40479</v>
      </c>
      <c r="Q441" s="6">
        <v>26.2</v>
      </c>
      <c r="R441" s="5">
        <v>3.53</v>
      </c>
      <c r="S441" s="6">
        <v>8.6</v>
      </c>
      <c r="T441" s="3"/>
    </row>
    <row r="442" spans="1:20" s="4" customFormat="1" ht="15" customHeight="1" x14ac:dyDescent="0.2">
      <c r="A442" s="4">
        <v>2010</v>
      </c>
      <c r="B442" s="4" t="s">
        <v>91</v>
      </c>
      <c r="C442" s="4">
        <v>2</v>
      </c>
      <c r="D442" s="4">
        <v>8</v>
      </c>
      <c r="E442" s="4" t="s">
        <v>38</v>
      </c>
      <c r="F442" s="4">
        <v>346</v>
      </c>
      <c r="G442" s="4">
        <v>1998</v>
      </c>
      <c r="H442" s="4" t="s">
        <v>14</v>
      </c>
      <c r="I442" s="5">
        <v>1.1599999999999999</v>
      </c>
      <c r="J442" s="3">
        <v>1600</v>
      </c>
      <c r="K442" s="3">
        <f>SUM(J442/I442)</f>
        <v>1379.3103448275863</v>
      </c>
      <c r="L442" s="3">
        <v>180</v>
      </c>
      <c r="M442" s="5">
        <v>2.9</v>
      </c>
      <c r="N442" s="5">
        <f>SUM(M442)/I442</f>
        <v>2.5</v>
      </c>
      <c r="O442" s="5">
        <f>SUM(M442*2000)/J442</f>
        <v>3.625</v>
      </c>
      <c r="P442" s="8">
        <v>40479</v>
      </c>
      <c r="Q442" s="6">
        <v>26.8</v>
      </c>
      <c r="R442" s="5">
        <v>3.36</v>
      </c>
      <c r="S442" s="6">
        <v>7</v>
      </c>
      <c r="T442" s="3"/>
    </row>
    <row r="443" spans="1:20" s="4" customFormat="1" ht="15" customHeight="1" x14ac:dyDescent="0.2">
      <c r="A443" s="4">
        <v>2010</v>
      </c>
      <c r="B443" s="4" t="s">
        <v>91</v>
      </c>
      <c r="C443" s="4">
        <v>2</v>
      </c>
      <c r="D443" s="4">
        <v>9</v>
      </c>
      <c r="E443" s="4" t="s">
        <v>38</v>
      </c>
      <c r="F443" s="4">
        <v>509</v>
      </c>
      <c r="G443" s="4">
        <v>1998</v>
      </c>
      <c r="H443" s="4" t="s">
        <v>14</v>
      </c>
      <c r="I443" s="5">
        <v>0.91</v>
      </c>
      <c r="J443" s="3">
        <v>1257</v>
      </c>
      <c r="K443" s="3">
        <f>SUM(J443/I443)</f>
        <v>1381.3186813186812</v>
      </c>
      <c r="L443" s="3">
        <v>105</v>
      </c>
      <c r="M443" s="5">
        <v>2.2000000000000002</v>
      </c>
      <c r="N443" s="5">
        <f>SUM(M443)/I443</f>
        <v>2.4175824175824179</v>
      </c>
      <c r="O443" s="5">
        <f>SUM(M443*2000)/J443</f>
        <v>3.5003977724741446</v>
      </c>
      <c r="P443" s="8">
        <v>40470</v>
      </c>
      <c r="Q443" s="6">
        <v>23.4</v>
      </c>
      <c r="R443" s="5">
        <v>3.36</v>
      </c>
      <c r="S443" s="6">
        <v>6.8</v>
      </c>
      <c r="T443" s="3"/>
    </row>
    <row r="444" spans="1:20" s="4" customFormat="1" ht="15" customHeight="1" x14ac:dyDescent="0.2">
      <c r="A444" s="4">
        <v>2010</v>
      </c>
      <c r="B444" s="4" t="s">
        <v>91</v>
      </c>
      <c r="C444" s="4">
        <v>6</v>
      </c>
      <c r="D444" s="9">
        <v>0.5</v>
      </c>
      <c r="E444" s="4" t="s">
        <v>38</v>
      </c>
      <c r="F444" s="4">
        <v>181</v>
      </c>
      <c r="G444" s="4">
        <v>2003</v>
      </c>
      <c r="H444" s="4" t="s">
        <v>34</v>
      </c>
      <c r="I444" s="5">
        <v>4.4000000000000004</v>
      </c>
      <c r="J444" s="3">
        <v>8263</v>
      </c>
      <c r="K444" s="3">
        <v>1877</v>
      </c>
      <c r="L444" s="3">
        <v>107</v>
      </c>
      <c r="M444" s="5">
        <v>15.2</v>
      </c>
      <c r="N444" s="5">
        <f>SUM(M444/I444)</f>
        <v>3.4545454545454541</v>
      </c>
      <c r="O444" s="5">
        <f>SUM(M444*2000)/J444</f>
        <v>3.679051192060995</v>
      </c>
      <c r="P444" s="8">
        <v>40471</v>
      </c>
      <c r="Q444" s="6">
        <v>25.4</v>
      </c>
      <c r="R444" s="5">
        <v>3.4</v>
      </c>
      <c r="S444" s="6">
        <v>6.9</v>
      </c>
      <c r="T444" s="3"/>
    </row>
    <row r="445" spans="1:20" s="4" customFormat="1" ht="15" customHeight="1" x14ac:dyDescent="0.2">
      <c r="A445" s="4">
        <v>2011</v>
      </c>
      <c r="B445" s="4" t="s">
        <v>91</v>
      </c>
      <c r="C445" s="4">
        <v>1</v>
      </c>
      <c r="D445" s="4">
        <v>1</v>
      </c>
      <c r="E445" s="4" t="s">
        <v>38</v>
      </c>
      <c r="F445" s="4" t="s">
        <v>39</v>
      </c>
      <c r="G445" s="4">
        <v>1997</v>
      </c>
      <c r="H445" s="4" t="s">
        <v>40</v>
      </c>
      <c r="I445" s="5">
        <v>0.91</v>
      </c>
      <c r="J445" s="3">
        <v>1515</v>
      </c>
      <c r="K445" s="3">
        <f>SUM(J445/I445)</f>
        <v>1664.8351648351647</v>
      </c>
      <c r="L445" s="3"/>
      <c r="M445" s="5">
        <v>2.41</v>
      </c>
      <c r="N445" s="5">
        <f>SUM(M445)/(I445)</f>
        <v>2.6483516483516483</v>
      </c>
      <c r="O445" s="5">
        <f>SUM(M445*2000)/(J445)</f>
        <v>3.1815181518151814</v>
      </c>
      <c r="P445" s="8">
        <v>40855</v>
      </c>
      <c r="Q445" s="6">
        <v>24.2</v>
      </c>
      <c r="R445" s="5">
        <v>3.48</v>
      </c>
      <c r="S445" s="6">
        <v>5.0999999999999996</v>
      </c>
      <c r="T445" s="3"/>
    </row>
    <row r="446" spans="1:20" s="4" customFormat="1" ht="15" customHeight="1" x14ac:dyDescent="0.2">
      <c r="A446" s="4">
        <v>2011</v>
      </c>
      <c r="B446" s="4" t="s">
        <v>91</v>
      </c>
      <c r="C446" s="4">
        <v>2</v>
      </c>
      <c r="D446" s="4">
        <v>2</v>
      </c>
      <c r="E446" s="4" t="s">
        <v>38</v>
      </c>
      <c r="F446" s="4">
        <v>181</v>
      </c>
      <c r="G446" s="4">
        <v>1998</v>
      </c>
      <c r="H446" s="4" t="s">
        <v>41</v>
      </c>
      <c r="I446" s="5">
        <v>3.27</v>
      </c>
      <c r="J446" s="3">
        <v>4500</v>
      </c>
      <c r="K446" s="3">
        <f>SUM(J446/I446)</f>
        <v>1376.1467889908256</v>
      </c>
      <c r="L446" s="3">
        <v>160</v>
      </c>
      <c r="M446" s="5">
        <v>9.82</v>
      </c>
      <c r="N446" s="5">
        <f>SUM(M446)/I446</f>
        <v>3.0030581039755351</v>
      </c>
      <c r="O446" s="5">
        <f>SUM(M446*2000)/J446</f>
        <v>4.3644444444444446</v>
      </c>
      <c r="P446" s="8">
        <v>40855</v>
      </c>
      <c r="Q446" s="6">
        <v>24.8</v>
      </c>
      <c r="R446" s="5">
        <v>6.45</v>
      </c>
      <c r="S446" s="6">
        <v>5.3</v>
      </c>
      <c r="T446" s="3"/>
    </row>
    <row r="447" spans="1:20" s="4" customFormat="1" ht="15" customHeight="1" x14ac:dyDescent="0.2">
      <c r="A447" s="4">
        <v>2011</v>
      </c>
      <c r="B447" s="4" t="s">
        <v>91</v>
      </c>
      <c r="C447" s="4">
        <v>2</v>
      </c>
      <c r="D447" s="4">
        <v>7</v>
      </c>
      <c r="E447" s="4" t="s">
        <v>38</v>
      </c>
      <c r="F447" s="4">
        <v>347</v>
      </c>
      <c r="G447" s="4">
        <v>1998</v>
      </c>
      <c r="H447" s="4" t="s">
        <v>14</v>
      </c>
      <c r="I447" s="5">
        <v>3.27</v>
      </c>
      <c r="J447" s="3">
        <v>4500</v>
      </c>
      <c r="K447" s="3">
        <f>SUM(J447/I447)</f>
        <v>1376.1467889908256</v>
      </c>
      <c r="L447" s="3">
        <v>130</v>
      </c>
      <c r="M447" s="5">
        <v>6.62</v>
      </c>
      <c r="N447" s="5">
        <f>SUM(M447)/I447</f>
        <v>2.0244648318042815</v>
      </c>
      <c r="O447" s="5">
        <f>SUM(M447*2000)/J447</f>
        <v>2.9422222222222221</v>
      </c>
      <c r="P447" s="8">
        <v>40855</v>
      </c>
      <c r="Q447" s="6">
        <v>25.4</v>
      </c>
      <c r="R447" s="5">
        <v>3.52</v>
      </c>
      <c r="S447" s="6">
        <v>5.0999999999999996</v>
      </c>
      <c r="T447" s="3"/>
    </row>
    <row r="448" spans="1:20" s="4" customFormat="1" ht="15" customHeight="1" x14ac:dyDescent="0.2">
      <c r="A448" s="4">
        <v>2011</v>
      </c>
      <c r="B448" s="4" t="s">
        <v>91</v>
      </c>
      <c r="C448" s="4">
        <v>2</v>
      </c>
      <c r="D448" s="4">
        <v>8</v>
      </c>
      <c r="E448" s="4" t="s">
        <v>38</v>
      </c>
      <c r="F448" s="4">
        <v>346</v>
      </c>
      <c r="G448" s="4">
        <v>1998</v>
      </c>
      <c r="H448" s="4" t="s">
        <v>14</v>
      </c>
      <c r="I448" s="5">
        <v>1.1599999999999999</v>
      </c>
      <c r="J448" s="3">
        <v>1600</v>
      </c>
      <c r="K448" s="3">
        <f>SUM(J448/I448)</f>
        <v>1379.3103448275863</v>
      </c>
      <c r="L448" s="3">
        <v>130</v>
      </c>
      <c r="M448" s="5">
        <v>3.02</v>
      </c>
      <c r="N448" s="5">
        <f>SUM(M448)/I448</f>
        <v>2.603448275862069</v>
      </c>
      <c r="O448" s="5">
        <f>SUM(M448*2000)/J448</f>
        <v>3.7749999999999999</v>
      </c>
      <c r="P448" s="8">
        <v>40856</v>
      </c>
      <c r="Q448" s="6">
        <v>25.4</v>
      </c>
      <c r="R448" s="5">
        <v>3.52</v>
      </c>
      <c r="S448" s="6">
        <v>5.0999999999999996</v>
      </c>
      <c r="T448" s="3"/>
    </row>
    <row r="449" spans="1:20" s="4" customFormat="1" ht="15" customHeight="1" x14ac:dyDescent="0.2">
      <c r="A449" s="4">
        <v>2011</v>
      </c>
      <c r="B449" s="4" t="s">
        <v>91</v>
      </c>
      <c r="C449" s="4">
        <v>2</v>
      </c>
      <c r="D449" s="4">
        <v>9</v>
      </c>
      <c r="E449" s="4" t="s">
        <v>38</v>
      </c>
      <c r="F449" s="4">
        <v>509</v>
      </c>
      <c r="G449" s="4">
        <v>1998</v>
      </c>
      <c r="H449" s="4" t="s">
        <v>14</v>
      </c>
      <c r="I449" s="5">
        <v>0.91</v>
      </c>
      <c r="J449" s="3">
        <v>1257</v>
      </c>
      <c r="K449" s="3">
        <f>SUM(J449/I449)</f>
        <v>1381.3186813186812</v>
      </c>
      <c r="L449" s="3">
        <v>190</v>
      </c>
      <c r="M449" s="5">
        <v>3.01</v>
      </c>
      <c r="N449" s="5"/>
      <c r="O449" s="5">
        <f>SUM(M449*2000)/J449</f>
        <v>4.7891805887032621</v>
      </c>
      <c r="P449" s="8">
        <v>40856</v>
      </c>
      <c r="Q449" s="6">
        <v>24.4</v>
      </c>
      <c r="R449" s="5">
        <v>3.4</v>
      </c>
      <c r="S449" s="6">
        <v>5.7</v>
      </c>
      <c r="T449" s="3"/>
    </row>
    <row r="450" spans="1:20" s="4" customFormat="1" ht="15" customHeight="1" x14ac:dyDescent="0.2">
      <c r="A450" s="4">
        <v>2011</v>
      </c>
      <c r="B450" s="4" t="s">
        <v>91</v>
      </c>
      <c r="C450" s="4">
        <v>6</v>
      </c>
      <c r="D450" s="9">
        <v>0.5</v>
      </c>
      <c r="E450" s="4" t="s">
        <v>38</v>
      </c>
      <c r="F450" s="4">
        <v>181</v>
      </c>
      <c r="G450" s="4">
        <v>2003</v>
      </c>
      <c r="H450" s="4" t="s">
        <v>34</v>
      </c>
      <c r="I450" s="5">
        <v>4.4000000000000004</v>
      </c>
      <c r="J450" s="3">
        <v>8263</v>
      </c>
      <c r="K450" s="3">
        <v>1877</v>
      </c>
      <c r="L450" s="3">
        <v>160</v>
      </c>
      <c r="M450" s="5">
        <v>19.7</v>
      </c>
      <c r="N450" s="5">
        <f>SUM(M450/I450)</f>
        <v>4.4772727272727266</v>
      </c>
      <c r="O450" s="5">
        <f>SUM(M450*2000)/J450</f>
        <v>4.7682439791843159</v>
      </c>
      <c r="P450" s="8">
        <v>40855</v>
      </c>
      <c r="Q450" s="6">
        <v>25</v>
      </c>
      <c r="R450" s="5">
        <v>3.52</v>
      </c>
      <c r="S450" s="6">
        <v>5.0999999999999996</v>
      </c>
      <c r="T450" s="3"/>
    </row>
    <row r="451" spans="1:20" s="4" customFormat="1" ht="15" customHeight="1" x14ac:dyDescent="0.2">
      <c r="A451" s="4">
        <v>2012</v>
      </c>
      <c r="B451" s="4" t="s">
        <v>91</v>
      </c>
      <c r="C451" s="4">
        <v>1</v>
      </c>
      <c r="D451" s="4">
        <v>1</v>
      </c>
      <c r="E451" s="4" t="s">
        <v>38</v>
      </c>
      <c r="F451" s="4" t="s">
        <v>39</v>
      </c>
      <c r="G451" s="4">
        <v>1997</v>
      </c>
      <c r="H451" s="4" t="s">
        <v>40</v>
      </c>
      <c r="I451" s="5">
        <v>0.91</v>
      </c>
      <c r="J451" s="3">
        <v>1515</v>
      </c>
      <c r="K451" s="3">
        <f>SUM(J451/I451)</f>
        <v>1664.8351648351647</v>
      </c>
      <c r="L451" s="3"/>
      <c r="M451" s="5">
        <v>3.53</v>
      </c>
      <c r="N451" s="5">
        <f>SUM(M451)/(I451)</f>
        <v>3.8791208791208787</v>
      </c>
      <c r="O451" s="5">
        <f>SUM(M451*2000)/(J451)</f>
        <v>4.6600660066006601</v>
      </c>
      <c r="P451" s="8">
        <v>41210</v>
      </c>
      <c r="Q451" s="6">
        <v>24.8</v>
      </c>
      <c r="R451" s="5">
        <v>3.58</v>
      </c>
      <c r="S451" s="6">
        <v>4.42</v>
      </c>
      <c r="T451" s="3"/>
    </row>
    <row r="452" spans="1:20" s="4" customFormat="1" ht="15" customHeight="1" x14ac:dyDescent="0.2">
      <c r="A452" s="4">
        <v>2012</v>
      </c>
      <c r="B452" s="4" t="s">
        <v>91</v>
      </c>
      <c r="C452" s="4">
        <v>2</v>
      </c>
      <c r="D452" s="4">
        <v>2</v>
      </c>
      <c r="E452" s="4" t="s">
        <v>38</v>
      </c>
      <c r="F452" s="4">
        <v>181</v>
      </c>
      <c r="G452" s="4">
        <v>1998</v>
      </c>
      <c r="H452" s="4" t="s">
        <v>41</v>
      </c>
      <c r="I452" s="5">
        <v>3.27</v>
      </c>
      <c r="J452" s="3">
        <v>4500</v>
      </c>
      <c r="K452" s="3">
        <f>SUM(J452/I452)</f>
        <v>1376.1467889908256</v>
      </c>
      <c r="L452" s="3"/>
      <c r="M452" s="5">
        <f>0.46+12.61</f>
        <v>13.07</v>
      </c>
      <c r="N452" s="5">
        <f>SUM(M452)/I452</f>
        <v>3.9969418960244649</v>
      </c>
      <c r="O452" s="5">
        <f>SUM(M452*2000)/J452</f>
        <v>5.8088888888888892</v>
      </c>
      <c r="P452" s="8">
        <v>41207</v>
      </c>
      <c r="Q452" s="6">
        <f>(25+25+22.4)/3</f>
        <v>24.133333333333336</v>
      </c>
      <c r="R452" s="5">
        <f>(3.64+3.51+3.56)/3</f>
        <v>3.5700000000000003</v>
      </c>
      <c r="S452" s="6">
        <f>(4.68+5.1+5.55)/3</f>
        <v>5.1099999999999994</v>
      </c>
      <c r="T452" s="3"/>
    </row>
    <row r="453" spans="1:20" s="4" customFormat="1" ht="15" customHeight="1" x14ac:dyDescent="0.2">
      <c r="A453" s="4">
        <v>2012</v>
      </c>
      <c r="B453" s="4" t="s">
        <v>91</v>
      </c>
      <c r="C453" s="4">
        <v>2</v>
      </c>
      <c r="D453" s="4">
        <v>7</v>
      </c>
      <c r="E453" s="4" t="s">
        <v>38</v>
      </c>
      <c r="F453" s="4">
        <v>347</v>
      </c>
      <c r="G453" s="4">
        <v>1998</v>
      </c>
      <c r="H453" s="4" t="s">
        <v>14</v>
      </c>
      <c r="I453" s="5">
        <v>3.27</v>
      </c>
      <c r="J453" s="3">
        <v>4500</v>
      </c>
      <c r="K453" s="3">
        <f>SUM(J453/I453)</f>
        <v>1376.1467889908256</v>
      </c>
      <c r="L453" s="3"/>
      <c r="M453" s="5">
        <v>10.54</v>
      </c>
      <c r="N453" s="5">
        <f>SUM(M453)/I453</f>
        <v>3.2232415902140672</v>
      </c>
      <c r="O453" s="5">
        <f>SUM(M453*2000)/J453</f>
        <v>4.6844444444444449</v>
      </c>
      <c r="P453" s="8">
        <v>41208</v>
      </c>
      <c r="Q453" s="6">
        <v>24.2</v>
      </c>
      <c r="R453" s="5">
        <v>3.74</v>
      </c>
      <c r="S453" s="6">
        <v>4.16</v>
      </c>
      <c r="T453" s="3"/>
    </row>
    <row r="454" spans="1:20" s="4" customFormat="1" ht="15" customHeight="1" x14ac:dyDescent="0.2">
      <c r="A454" s="4">
        <v>2012</v>
      </c>
      <c r="B454" s="4" t="s">
        <v>91</v>
      </c>
      <c r="C454" s="4">
        <v>2</v>
      </c>
      <c r="D454" s="4">
        <v>8</v>
      </c>
      <c r="E454" s="4" t="s">
        <v>38</v>
      </c>
      <c r="F454" s="4">
        <v>346</v>
      </c>
      <c r="G454" s="4">
        <v>1998</v>
      </c>
      <c r="H454" s="4" t="s">
        <v>14</v>
      </c>
      <c r="I454" s="5">
        <v>1.1599999999999999</v>
      </c>
      <c r="J454" s="3">
        <v>1600</v>
      </c>
      <c r="K454" s="3">
        <f>SUM(J454/I454)</f>
        <v>1379.3103448275863</v>
      </c>
      <c r="L454" s="3">
        <v>150</v>
      </c>
      <c r="M454" s="5">
        <f>4.34+1.49</f>
        <v>5.83</v>
      </c>
      <c r="N454" s="5">
        <f>SUM(M454)/I454</f>
        <v>5.0258620689655178</v>
      </c>
      <c r="O454" s="5">
        <f>SUM(M454*2000)/J454</f>
        <v>7.2874999999999996</v>
      </c>
      <c r="P454" s="8" t="s">
        <v>42</v>
      </c>
      <c r="Q454" s="6">
        <f>(24.2+25+24.8)/3</f>
        <v>24.666666666666668</v>
      </c>
      <c r="R454" s="5">
        <f>(3.74+3.64+3.58)/3</f>
        <v>3.6533333333333338</v>
      </c>
      <c r="S454" s="6">
        <f>(4.16+4.68+4.42)/3</f>
        <v>4.42</v>
      </c>
      <c r="T454" s="3"/>
    </row>
    <row r="455" spans="1:20" s="4" customFormat="1" ht="15" customHeight="1" x14ac:dyDescent="0.2">
      <c r="A455" s="4">
        <v>2012</v>
      </c>
      <c r="B455" s="4" t="s">
        <v>91</v>
      </c>
      <c r="C455" s="4">
        <v>2</v>
      </c>
      <c r="D455" s="4">
        <v>9</v>
      </c>
      <c r="E455" s="4" t="s">
        <v>38</v>
      </c>
      <c r="F455" s="4">
        <v>509</v>
      </c>
      <c r="G455" s="4">
        <v>1998</v>
      </c>
      <c r="H455" s="4" t="s">
        <v>14</v>
      </c>
      <c r="I455" s="5">
        <v>0.91</v>
      </c>
      <c r="J455" s="3">
        <v>1257</v>
      </c>
      <c r="K455" s="3">
        <f>SUM(J455/I455)</f>
        <v>1381.3186813186812</v>
      </c>
      <c r="L455" s="3"/>
      <c r="M455" s="5">
        <v>2.16</v>
      </c>
      <c r="N455" s="5"/>
      <c r="O455" s="5">
        <f>SUM(M455*2000)/J455</f>
        <v>3.4367541766109784</v>
      </c>
      <c r="P455" s="8">
        <v>41210</v>
      </c>
      <c r="Q455" s="6">
        <v>24.8</v>
      </c>
      <c r="R455" s="5">
        <v>3.58</v>
      </c>
      <c r="S455" s="6">
        <v>4.42</v>
      </c>
      <c r="T455" s="3"/>
    </row>
    <row r="456" spans="1:20" s="4" customFormat="1" ht="15" customHeight="1" x14ac:dyDescent="0.2">
      <c r="A456" s="4">
        <v>2012</v>
      </c>
      <c r="B456" s="4" t="s">
        <v>91</v>
      </c>
      <c r="C456" s="4">
        <v>6</v>
      </c>
      <c r="D456" s="9">
        <v>0.5</v>
      </c>
      <c r="E456" s="4" t="s">
        <v>38</v>
      </c>
      <c r="F456" s="4">
        <v>181</v>
      </c>
      <c r="G456" s="4">
        <v>2003</v>
      </c>
      <c r="H456" s="4" t="s">
        <v>34</v>
      </c>
      <c r="I456" s="5">
        <v>4.4000000000000004</v>
      </c>
      <c r="J456" s="3">
        <v>8263</v>
      </c>
      <c r="K456" s="3">
        <v>1877</v>
      </c>
      <c r="L456" s="3">
        <v>155</v>
      </c>
      <c r="M456" s="5">
        <v>19.260000000000002</v>
      </c>
      <c r="N456" s="5">
        <f>SUM(M456/I456)</f>
        <v>4.377272727272727</v>
      </c>
      <c r="O456" s="5">
        <f>SUM(M456*2000)/J456</f>
        <v>4.6617451288878131</v>
      </c>
      <c r="P456" s="8">
        <v>41210</v>
      </c>
      <c r="Q456" s="6">
        <f>(21+25)/2</f>
        <v>23</v>
      </c>
      <c r="R456" s="5">
        <f>(3.62+3.64)/2</f>
        <v>3.63</v>
      </c>
      <c r="S456" s="6">
        <f>(5.62+4.12)/2</f>
        <v>4.87</v>
      </c>
      <c r="T456" s="3"/>
    </row>
    <row r="457" spans="1:20" s="4" customFormat="1" ht="15" customHeight="1" x14ac:dyDescent="0.2">
      <c r="A457" s="4">
        <v>2000</v>
      </c>
      <c r="B457" s="4" t="s">
        <v>91</v>
      </c>
      <c r="C457" s="4">
        <v>1</v>
      </c>
      <c r="D457" s="4">
        <v>3</v>
      </c>
      <c r="E457" s="4" t="s">
        <v>23</v>
      </c>
      <c r="F457" s="4">
        <v>7114</v>
      </c>
      <c r="G457" s="4">
        <v>1982</v>
      </c>
      <c r="H457" s="4" t="s">
        <v>24</v>
      </c>
      <c r="I457" s="5">
        <v>2.2400000000000002</v>
      </c>
      <c r="J457" s="3">
        <v>2416</v>
      </c>
      <c r="K457" s="3">
        <f t="shared" ref="K457:K478" si="34">SUM(J457/I457)</f>
        <v>1078.5714285714284</v>
      </c>
      <c r="L457" s="3">
        <v>130</v>
      </c>
      <c r="M457" s="5">
        <v>6.87</v>
      </c>
      <c r="N457" s="5">
        <f>SUM(M457+M458)/I457</f>
        <v>5.4374999999999991</v>
      </c>
      <c r="O457" s="5">
        <f>SUM(M457+M458)*2000/J457</f>
        <v>10.082781456953642</v>
      </c>
      <c r="P457" s="8">
        <v>37546</v>
      </c>
      <c r="Q457" s="6">
        <v>22.5</v>
      </c>
      <c r="R457" s="5">
        <v>3.21</v>
      </c>
      <c r="S457" s="6">
        <v>8.5</v>
      </c>
      <c r="T457" s="3"/>
    </row>
    <row r="458" spans="1:20" s="4" customFormat="1" ht="15" customHeight="1" x14ac:dyDescent="0.2">
      <c r="A458" s="4">
        <v>2001</v>
      </c>
      <c r="B458" s="4" t="s">
        <v>91</v>
      </c>
      <c r="C458" s="4">
        <v>1</v>
      </c>
      <c r="D458" s="4">
        <v>3</v>
      </c>
      <c r="E458" s="4" t="s">
        <v>23</v>
      </c>
      <c r="F458" s="4">
        <v>7114</v>
      </c>
      <c r="G458" s="4">
        <v>1982</v>
      </c>
      <c r="H458" s="4" t="s">
        <v>24</v>
      </c>
      <c r="I458" s="5">
        <v>2.2400000000000002</v>
      </c>
      <c r="J458" s="3">
        <v>2416</v>
      </c>
      <c r="K458" s="3">
        <f t="shared" si="34"/>
        <v>1078.5714285714284</v>
      </c>
      <c r="L458" s="3">
        <v>136</v>
      </c>
      <c r="M458" s="5">
        <v>5.31</v>
      </c>
      <c r="N458" s="5">
        <f>SUM(M458+M459)/I458</f>
        <v>7.0446428571428568</v>
      </c>
      <c r="O458" s="5">
        <f>SUM(M458+M459)*2000/J458</f>
        <v>13.06291390728477</v>
      </c>
      <c r="P458" s="8">
        <v>37532</v>
      </c>
      <c r="Q458" s="6">
        <v>23.2</v>
      </c>
      <c r="R458" s="5">
        <v>3.34</v>
      </c>
      <c r="S458" s="6">
        <v>8.1</v>
      </c>
      <c r="T458" s="3"/>
    </row>
    <row r="459" spans="1:20" s="4" customFormat="1" ht="15" customHeight="1" x14ac:dyDescent="0.2">
      <c r="A459" s="4">
        <v>2002</v>
      </c>
      <c r="B459" s="4" t="s">
        <v>91</v>
      </c>
      <c r="C459" s="4">
        <v>1</v>
      </c>
      <c r="D459" s="4">
        <v>3</v>
      </c>
      <c r="E459" s="4" t="s">
        <v>23</v>
      </c>
      <c r="F459" s="4">
        <v>7114</v>
      </c>
      <c r="G459" s="4">
        <v>1982</v>
      </c>
      <c r="H459" s="4" t="s">
        <v>24</v>
      </c>
      <c r="I459" s="5">
        <v>2.2400000000000002</v>
      </c>
      <c r="J459" s="3">
        <v>2416</v>
      </c>
      <c r="K459" s="3">
        <f t="shared" si="34"/>
        <v>1078.5714285714284</v>
      </c>
      <c r="L459" s="3"/>
      <c r="M459" s="5">
        <v>10.47</v>
      </c>
      <c r="N459" s="5">
        <f>SUM(M459/I459)</f>
        <v>4.6741071428571423</v>
      </c>
      <c r="O459" s="5">
        <f>SUM(M459*2000)/J459</f>
        <v>8.6672185430463582</v>
      </c>
      <c r="P459" s="8">
        <v>37908</v>
      </c>
      <c r="Q459" s="6">
        <v>36</v>
      </c>
      <c r="R459" s="5">
        <v>3.44</v>
      </c>
      <c r="S459" s="6">
        <v>9.5</v>
      </c>
      <c r="T459" s="3"/>
    </row>
    <row r="460" spans="1:20" s="4" customFormat="1" ht="15" customHeight="1" x14ac:dyDescent="0.2">
      <c r="A460" s="4">
        <v>2002</v>
      </c>
      <c r="B460" s="4" t="s">
        <v>91</v>
      </c>
      <c r="C460" s="4">
        <v>1</v>
      </c>
      <c r="D460" s="4">
        <v>3</v>
      </c>
      <c r="E460" s="4" t="s">
        <v>23</v>
      </c>
      <c r="F460" s="4">
        <v>7114</v>
      </c>
      <c r="G460" s="4">
        <v>1982</v>
      </c>
      <c r="H460" s="4" t="s">
        <v>24</v>
      </c>
      <c r="I460" s="5">
        <v>2.2400000000000002</v>
      </c>
      <c r="J460" s="3">
        <v>2417</v>
      </c>
      <c r="K460" s="3">
        <f t="shared" si="34"/>
        <v>1079.0178571428571</v>
      </c>
      <c r="L460" s="3"/>
      <c r="M460" s="5"/>
      <c r="N460" s="5"/>
      <c r="O460" s="5"/>
      <c r="P460" s="8">
        <v>37944</v>
      </c>
      <c r="Q460" s="6">
        <v>34.4</v>
      </c>
      <c r="R460" s="5">
        <v>3.94</v>
      </c>
      <c r="S460" s="6">
        <v>5.3</v>
      </c>
      <c r="T460" s="3"/>
    </row>
    <row r="461" spans="1:20" s="4" customFormat="1" ht="15" customHeight="1" x14ac:dyDescent="0.2">
      <c r="A461" s="4">
        <v>2003</v>
      </c>
      <c r="B461" s="4" t="s">
        <v>91</v>
      </c>
      <c r="C461" s="4">
        <v>1</v>
      </c>
      <c r="D461" s="4">
        <v>3</v>
      </c>
      <c r="E461" s="4" t="s">
        <v>23</v>
      </c>
      <c r="F461" s="4">
        <v>7114</v>
      </c>
      <c r="G461" s="4">
        <v>1982</v>
      </c>
      <c r="H461" s="4" t="s">
        <v>24</v>
      </c>
      <c r="I461" s="5">
        <v>2.2400000000000002</v>
      </c>
      <c r="J461" s="3">
        <v>2416</v>
      </c>
      <c r="K461" s="3">
        <f t="shared" si="34"/>
        <v>1078.5714285714284</v>
      </c>
      <c r="L461" s="3"/>
      <c r="M461" s="5"/>
      <c r="N461" s="5"/>
      <c r="O461" s="5"/>
      <c r="P461" s="8"/>
      <c r="Q461" s="6"/>
      <c r="R461" s="5"/>
      <c r="S461" s="6"/>
      <c r="T461" s="3"/>
    </row>
    <row r="462" spans="1:20" s="4" customFormat="1" ht="15" customHeight="1" x14ac:dyDescent="0.2">
      <c r="A462" s="4">
        <v>2003</v>
      </c>
      <c r="B462" s="4" t="s">
        <v>91</v>
      </c>
      <c r="C462" s="4">
        <v>1</v>
      </c>
      <c r="D462" s="4">
        <v>3</v>
      </c>
      <c r="E462" s="4" t="s">
        <v>23</v>
      </c>
      <c r="F462" s="4">
        <v>7114</v>
      </c>
      <c r="G462" s="4">
        <v>1982</v>
      </c>
      <c r="H462" s="4" t="s">
        <v>24</v>
      </c>
      <c r="I462" s="5">
        <v>2.2400000000000002</v>
      </c>
      <c r="J462" s="3">
        <v>2417</v>
      </c>
      <c r="K462" s="3">
        <f t="shared" si="34"/>
        <v>1079.0178571428571</v>
      </c>
      <c r="L462" s="3"/>
      <c r="M462" s="5">
        <v>13.3</v>
      </c>
      <c r="N462" s="5">
        <f>SUM(M462/I462)</f>
        <v>5.9375</v>
      </c>
      <c r="O462" s="5">
        <f>SUM(M462*2000)/J462</f>
        <v>11.005378568473313</v>
      </c>
      <c r="P462" s="8">
        <v>37929</v>
      </c>
      <c r="Q462" s="6">
        <v>32.799999999999997</v>
      </c>
      <c r="R462" s="5">
        <v>3.6</v>
      </c>
      <c r="S462" s="6">
        <v>7.5</v>
      </c>
      <c r="T462" s="3"/>
    </row>
    <row r="463" spans="1:20" s="4" customFormat="1" ht="15" customHeight="1" x14ac:dyDescent="0.2">
      <c r="A463" s="4">
        <v>2004</v>
      </c>
      <c r="B463" s="4" t="s">
        <v>91</v>
      </c>
      <c r="C463" s="4">
        <v>1</v>
      </c>
      <c r="D463" s="4">
        <v>3</v>
      </c>
      <c r="E463" s="4" t="s">
        <v>23</v>
      </c>
      <c r="F463" s="4">
        <v>7114</v>
      </c>
      <c r="G463" s="4">
        <v>1982</v>
      </c>
      <c r="H463" s="4" t="s">
        <v>24</v>
      </c>
      <c r="I463" s="5">
        <v>2.2400000000000002</v>
      </c>
      <c r="J463" s="3">
        <v>2416</v>
      </c>
      <c r="K463" s="3">
        <f t="shared" si="34"/>
        <v>1078.5714285714284</v>
      </c>
      <c r="L463" s="3"/>
      <c r="M463" s="5"/>
      <c r="N463" s="5"/>
      <c r="O463" s="5"/>
      <c r="P463" s="8"/>
      <c r="Q463" s="6"/>
      <c r="R463" s="5"/>
      <c r="S463" s="6"/>
      <c r="T463" s="3"/>
    </row>
    <row r="464" spans="1:20" s="4" customFormat="1" ht="15" customHeight="1" x14ac:dyDescent="0.2">
      <c r="A464" s="4">
        <v>2004</v>
      </c>
      <c r="B464" s="4" t="s">
        <v>91</v>
      </c>
      <c r="C464" s="4">
        <v>1</v>
      </c>
      <c r="D464" s="4">
        <v>3</v>
      </c>
      <c r="E464" s="4" t="s">
        <v>23</v>
      </c>
      <c r="F464" s="4">
        <v>7114</v>
      </c>
      <c r="G464" s="4">
        <v>1982</v>
      </c>
      <c r="H464" s="4" t="s">
        <v>24</v>
      </c>
      <c r="I464" s="5">
        <v>2.2400000000000002</v>
      </c>
      <c r="J464" s="3">
        <v>2417</v>
      </c>
      <c r="K464" s="3">
        <f t="shared" si="34"/>
        <v>1079.0178571428571</v>
      </c>
      <c r="L464" s="3">
        <v>120</v>
      </c>
      <c r="M464" s="5">
        <v>14.6</v>
      </c>
      <c r="N464" s="5">
        <f t="shared" ref="N464:N473" si="35">SUM(M464/I464)</f>
        <v>6.5178571428571423</v>
      </c>
      <c r="O464" s="5">
        <f t="shared" ref="O464:O473" si="36">SUM(M464*2000)/J464</f>
        <v>12.081092263136119</v>
      </c>
      <c r="P464" s="8">
        <v>38274</v>
      </c>
      <c r="Q464" s="6">
        <v>29.2</v>
      </c>
      <c r="R464" s="5">
        <v>3.54</v>
      </c>
      <c r="S464" s="6">
        <v>9</v>
      </c>
      <c r="T464" s="3"/>
    </row>
    <row r="465" spans="1:20" s="4" customFormat="1" ht="15" customHeight="1" x14ac:dyDescent="0.2">
      <c r="A465" s="4">
        <v>2005</v>
      </c>
      <c r="B465" s="4" t="s">
        <v>91</v>
      </c>
      <c r="C465" s="4">
        <v>1</v>
      </c>
      <c r="D465" s="4">
        <v>3</v>
      </c>
      <c r="E465" s="4" t="s">
        <v>23</v>
      </c>
      <c r="F465" s="4">
        <v>7114</v>
      </c>
      <c r="G465" s="4">
        <v>1982</v>
      </c>
      <c r="H465" s="4" t="s">
        <v>24</v>
      </c>
      <c r="I465" s="5">
        <v>2.2400000000000002</v>
      </c>
      <c r="J465" s="3">
        <v>2416</v>
      </c>
      <c r="K465" s="3">
        <f t="shared" si="34"/>
        <v>1078.5714285714284</v>
      </c>
      <c r="L465" s="3">
        <v>120</v>
      </c>
      <c r="M465" s="5">
        <v>3.8</v>
      </c>
      <c r="N465" s="5">
        <f t="shared" si="35"/>
        <v>1.6964285714285712</v>
      </c>
      <c r="O465" s="5">
        <f t="shared" si="36"/>
        <v>3.1456953642384105</v>
      </c>
      <c r="P465" s="8">
        <v>38651</v>
      </c>
      <c r="Q465" s="6">
        <v>32</v>
      </c>
      <c r="R465" s="5">
        <v>3.55</v>
      </c>
      <c r="S465" s="6">
        <v>7.6</v>
      </c>
      <c r="T465" s="3"/>
    </row>
    <row r="466" spans="1:20" s="4" customFormat="1" ht="15" customHeight="1" x14ac:dyDescent="0.2">
      <c r="A466" s="4">
        <v>2005</v>
      </c>
      <c r="B466" s="4" t="s">
        <v>91</v>
      </c>
      <c r="C466" s="4">
        <v>1</v>
      </c>
      <c r="D466" s="4">
        <v>3</v>
      </c>
      <c r="E466" s="4" t="s">
        <v>23</v>
      </c>
      <c r="F466" s="4">
        <v>7114</v>
      </c>
      <c r="G466" s="4">
        <v>1982</v>
      </c>
      <c r="H466" s="4" t="s">
        <v>24</v>
      </c>
      <c r="I466" s="5">
        <v>2.2400000000000002</v>
      </c>
      <c r="J466" s="3">
        <v>2417</v>
      </c>
      <c r="K466" s="3">
        <f t="shared" si="34"/>
        <v>1079.0178571428571</v>
      </c>
      <c r="L466" s="3">
        <v>111</v>
      </c>
      <c r="M466" s="5">
        <v>5</v>
      </c>
      <c r="N466" s="5">
        <f t="shared" si="35"/>
        <v>2.2321428571428568</v>
      </c>
      <c r="O466" s="5">
        <f t="shared" si="36"/>
        <v>4.1373603640877121</v>
      </c>
      <c r="P466" s="8">
        <v>38652</v>
      </c>
      <c r="Q466" s="6">
        <v>25</v>
      </c>
      <c r="R466" s="5">
        <v>3.56</v>
      </c>
      <c r="S466" s="6">
        <v>6.4</v>
      </c>
      <c r="T466" s="3"/>
    </row>
    <row r="467" spans="1:20" s="4" customFormat="1" ht="15" customHeight="1" x14ac:dyDescent="0.2">
      <c r="A467" s="4">
        <v>2006</v>
      </c>
      <c r="B467" s="4" t="s">
        <v>91</v>
      </c>
      <c r="C467" s="4">
        <v>1</v>
      </c>
      <c r="D467" s="4">
        <v>3</v>
      </c>
      <c r="E467" s="4" t="s">
        <v>23</v>
      </c>
      <c r="F467" s="4">
        <v>7114</v>
      </c>
      <c r="G467" s="4">
        <v>1982</v>
      </c>
      <c r="H467" s="4" t="s">
        <v>24</v>
      </c>
      <c r="I467" s="5">
        <v>2.2400000000000002</v>
      </c>
      <c r="J467" s="3">
        <v>2416</v>
      </c>
      <c r="K467" s="3">
        <f t="shared" si="34"/>
        <v>1078.5714285714284</v>
      </c>
      <c r="L467" s="3"/>
      <c r="M467" s="5">
        <v>5.0999999999999996</v>
      </c>
      <c r="N467" s="5">
        <f t="shared" si="35"/>
        <v>2.276785714285714</v>
      </c>
      <c r="O467" s="5">
        <f t="shared" si="36"/>
        <v>4.2218543046357615</v>
      </c>
      <c r="P467" s="8">
        <v>39013</v>
      </c>
      <c r="Q467" s="6">
        <v>32</v>
      </c>
      <c r="R467" s="5">
        <v>3.53</v>
      </c>
      <c r="S467" s="6">
        <v>10.6</v>
      </c>
      <c r="T467" s="3"/>
    </row>
    <row r="468" spans="1:20" s="4" customFormat="1" ht="15" customHeight="1" x14ac:dyDescent="0.2">
      <c r="A468" s="4">
        <v>2006</v>
      </c>
      <c r="B468" s="4" t="s">
        <v>91</v>
      </c>
      <c r="C468" s="4">
        <v>1</v>
      </c>
      <c r="D468" s="4">
        <v>3</v>
      </c>
      <c r="E468" s="4" t="s">
        <v>23</v>
      </c>
      <c r="F468" s="4">
        <v>7114</v>
      </c>
      <c r="G468" s="4">
        <v>1982</v>
      </c>
      <c r="H468" s="4" t="s">
        <v>24</v>
      </c>
      <c r="I468" s="5">
        <v>2.2400000000000002</v>
      </c>
      <c r="J468" s="3">
        <v>2417</v>
      </c>
      <c r="K468" s="3">
        <f t="shared" si="34"/>
        <v>1079.0178571428571</v>
      </c>
      <c r="L468" s="3">
        <v>136</v>
      </c>
      <c r="M468" s="5">
        <v>14.3</v>
      </c>
      <c r="N468" s="5">
        <f t="shared" si="35"/>
        <v>6.3839285714285712</v>
      </c>
      <c r="O468" s="5">
        <f t="shared" si="36"/>
        <v>11.832850641290856</v>
      </c>
      <c r="P468" s="8">
        <v>39013</v>
      </c>
      <c r="Q468" s="6">
        <v>25.4</v>
      </c>
      <c r="R468" s="5">
        <v>3.53</v>
      </c>
      <c r="S468" s="6">
        <v>6.3</v>
      </c>
      <c r="T468" s="3"/>
    </row>
    <row r="469" spans="1:20" s="4" customFormat="1" ht="15" customHeight="1" x14ac:dyDescent="0.2">
      <c r="A469" s="4">
        <v>2007</v>
      </c>
      <c r="B469" s="4" t="s">
        <v>91</v>
      </c>
      <c r="C469" s="4">
        <v>1</v>
      </c>
      <c r="D469" s="4">
        <v>3</v>
      </c>
      <c r="E469" s="4" t="s">
        <v>23</v>
      </c>
      <c r="F469" s="4">
        <v>7114</v>
      </c>
      <c r="G469" s="4">
        <v>1982</v>
      </c>
      <c r="H469" s="4" t="s">
        <v>24</v>
      </c>
      <c r="I469" s="5">
        <v>4.4800000000000004</v>
      </c>
      <c r="J469" s="3">
        <v>4833</v>
      </c>
      <c r="K469" s="3">
        <f t="shared" si="34"/>
        <v>1078.7946428571427</v>
      </c>
      <c r="L469" s="3"/>
      <c r="M469" s="5">
        <v>14.1</v>
      </c>
      <c r="N469" s="5">
        <f t="shared" si="35"/>
        <v>3.1473214285714284</v>
      </c>
      <c r="O469" s="5">
        <f t="shared" si="36"/>
        <v>5.8348851644941027</v>
      </c>
      <c r="P469" s="8">
        <v>39381</v>
      </c>
      <c r="Q469" s="6">
        <v>31.2</v>
      </c>
      <c r="R469" s="5">
        <v>3.67</v>
      </c>
      <c r="S469" s="6">
        <v>7.1</v>
      </c>
      <c r="T469" s="3"/>
    </row>
    <row r="470" spans="1:20" s="4" customFormat="1" ht="15" customHeight="1" x14ac:dyDescent="0.2">
      <c r="A470" s="4">
        <v>2008</v>
      </c>
      <c r="B470" s="4" t="s">
        <v>91</v>
      </c>
      <c r="C470" s="4">
        <v>1</v>
      </c>
      <c r="D470" s="4">
        <v>3</v>
      </c>
      <c r="E470" s="4" t="s">
        <v>23</v>
      </c>
      <c r="F470" s="4">
        <v>7114</v>
      </c>
      <c r="G470" s="4">
        <v>1982</v>
      </c>
      <c r="H470" s="4" t="s">
        <v>24</v>
      </c>
      <c r="I470" s="5">
        <v>2.2400000000000002</v>
      </c>
      <c r="J470" s="3">
        <v>2416</v>
      </c>
      <c r="K470" s="3">
        <f t="shared" si="34"/>
        <v>1078.5714285714284</v>
      </c>
      <c r="L470" s="3"/>
      <c r="M470" s="5">
        <v>9.5</v>
      </c>
      <c r="N470" s="5">
        <f t="shared" si="35"/>
        <v>4.2410714285714279</v>
      </c>
      <c r="O470" s="5">
        <f t="shared" si="36"/>
        <v>7.8642384105960268</v>
      </c>
      <c r="P470" s="8">
        <v>39749</v>
      </c>
      <c r="Q470" s="6">
        <v>32</v>
      </c>
      <c r="R470" s="5">
        <v>3.72</v>
      </c>
      <c r="S470" s="6">
        <v>7.5</v>
      </c>
      <c r="T470" s="3"/>
    </row>
    <row r="471" spans="1:20" s="4" customFormat="1" ht="15" customHeight="1" x14ac:dyDescent="0.2">
      <c r="A471" s="4">
        <v>2009</v>
      </c>
      <c r="B471" s="4" t="s">
        <v>91</v>
      </c>
      <c r="C471" s="4">
        <v>1</v>
      </c>
      <c r="D471" s="4">
        <v>3</v>
      </c>
      <c r="E471" s="4" t="s">
        <v>23</v>
      </c>
      <c r="F471" s="4">
        <v>7114</v>
      </c>
      <c r="G471" s="4">
        <v>1982</v>
      </c>
      <c r="H471" s="4" t="s">
        <v>24</v>
      </c>
      <c r="I471" s="5">
        <v>4.4800000000000004</v>
      </c>
      <c r="J471" s="3">
        <v>4833</v>
      </c>
      <c r="K471" s="3">
        <f t="shared" si="34"/>
        <v>1078.7946428571427</v>
      </c>
      <c r="L471" s="3">
        <v>123</v>
      </c>
      <c r="M471" s="5">
        <v>8</v>
      </c>
      <c r="N471" s="5">
        <f t="shared" si="35"/>
        <v>1.7857142857142856</v>
      </c>
      <c r="O471" s="5">
        <f t="shared" si="36"/>
        <v>3.3105731429753775</v>
      </c>
      <c r="P471" s="8">
        <v>40102</v>
      </c>
      <c r="Q471" s="6">
        <v>34</v>
      </c>
      <c r="R471" s="5">
        <v>3.79</v>
      </c>
      <c r="S471" s="6">
        <v>7.6</v>
      </c>
      <c r="T471" s="3"/>
    </row>
    <row r="472" spans="1:20" s="4" customFormat="1" ht="15" customHeight="1" x14ac:dyDescent="0.2">
      <c r="A472" s="4">
        <v>2011</v>
      </c>
      <c r="B472" s="4" t="s">
        <v>91</v>
      </c>
      <c r="C472" s="4">
        <v>1</v>
      </c>
      <c r="D472" s="4">
        <v>3</v>
      </c>
      <c r="E472" s="4" t="s">
        <v>23</v>
      </c>
      <c r="F472" s="4">
        <v>7114</v>
      </c>
      <c r="G472" s="4">
        <v>1982</v>
      </c>
      <c r="H472" s="4" t="s">
        <v>24</v>
      </c>
      <c r="I472" s="5">
        <v>4.4800000000000004</v>
      </c>
      <c r="J472" s="3">
        <v>4833</v>
      </c>
      <c r="K472" s="3">
        <f t="shared" si="34"/>
        <v>1078.7946428571427</v>
      </c>
      <c r="L472" s="3"/>
      <c r="M472" s="5">
        <v>5.95</v>
      </c>
      <c r="N472" s="5">
        <f t="shared" si="35"/>
        <v>1.328125</v>
      </c>
      <c r="O472" s="5">
        <f t="shared" si="36"/>
        <v>2.4622387750879371</v>
      </c>
      <c r="P472" s="8">
        <v>40841</v>
      </c>
      <c r="Q472" s="6">
        <v>34</v>
      </c>
      <c r="R472" s="5">
        <v>3.66</v>
      </c>
      <c r="S472" s="6">
        <v>8.9</v>
      </c>
      <c r="T472" s="3"/>
    </row>
    <row r="473" spans="1:20" s="4" customFormat="1" ht="15" customHeight="1" x14ac:dyDescent="0.2">
      <c r="A473" s="4">
        <v>2012</v>
      </c>
      <c r="B473" s="4" t="s">
        <v>91</v>
      </c>
      <c r="C473" s="4">
        <v>1</v>
      </c>
      <c r="D473" s="4">
        <v>3</v>
      </c>
      <c r="E473" s="4" t="s">
        <v>23</v>
      </c>
      <c r="F473" s="4">
        <v>7114</v>
      </c>
      <c r="G473" s="4">
        <v>1982</v>
      </c>
      <c r="H473" s="4" t="s">
        <v>24</v>
      </c>
      <c r="I473" s="5">
        <v>4.4800000000000004</v>
      </c>
      <c r="J473" s="3">
        <v>4833</v>
      </c>
      <c r="K473" s="3">
        <f t="shared" si="34"/>
        <v>1078.7946428571427</v>
      </c>
      <c r="L473" s="3">
        <v>112.5</v>
      </c>
      <c r="M473" s="5">
        <v>13.86</v>
      </c>
      <c r="N473" s="5">
        <f t="shared" si="35"/>
        <v>3.0937499999999996</v>
      </c>
      <c r="O473" s="5">
        <f t="shared" si="36"/>
        <v>5.7355679702048414</v>
      </c>
      <c r="P473" s="8">
        <v>41193</v>
      </c>
      <c r="Q473" s="6">
        <v>26</v>
      </c>
      <c r="R473" s="5">
        <v>3.64</v>
      </c>
      <c r="S473" s="6">
        <v>6.6</v>
      </c>
      <c r="T473" s="3"/>
    </row>
    <row r="474" spans="1:20" s="4" customFormat="1" ht="15" customHeight="1" x14ac:dyDescent="0.2">
      <c r="A474" s="4">
        <v>2000</v>
      </c>
      <c r="B474" s="4" t="s">
        <v>91</v>
      </c>
      <c r="C474" s="4">
        <v>1</v>
      </c>
      <c r="D474" s="4">
        <v>3</v>
      </c>
      <c r="E474" s="4" t="s">
        <v>25</v>
      </c>
      <c r="F474" s="4">
        <v>7114</v>
      </c>
      <c r="G474" s="4">
        <v>1982</v>
      </c>
      <c r="H474" s="4" t="s">
        <v>24</v>
      </c>
      <c r="I474" s="5">
        <v>2.2400000000000002</v>
      </c>
      <c r="J474" s="3">
        <v>2417</v>
      </c>
      <c r="K474" s="3">
        <f t="shared" si="34"/>
        <v>1079.0178571428571</v>
      </c>
      <c r="L474" s="3">
        <v>129</v>
      </c>
      <c r="M474" s="5">
        <v>11.3</v>
      </c>
      <c r="N474" s="5"/>
      <c r="O474" s="5"/>
      <c r="P474" s="8">
        <v>36815</v>
      </c>
      <c r="Q474" s="6">
        <v>27.1</v>
      </c>
      <c r="R474" s="5">
        <v>3.18</v>
      </c>
      <c r="S474" s="6">
        <v>10.4</v>
      </c>
      <c r="T474" s="3"/>
    </row>
    <row r="475" spans="1:20" s="4" customFormat="1" ht="15" customHeight="1" x14ac:dyDescent="0.2">
      <c r="A475" s="4">
        <v>2001</v>
      </c>
      <c r="B475" s="4" t="s">
        <v>91</v>
      </c>
      <c r="C475" s="4">
        <v>1</v>
      </c>
      <c r="D475" s="4">
        <v>3</v>
      </c>
      <c r="E475" s="4" t="s">
        <v>25</v>
      </c>
      <c r="F475" s="4">
        <v>7114</v>
      </c>
      <c r="G475" s="4">
        <v>1982</v>
      </c>
      <c r="H475" s="4" t="s">
        <v>24</v>
      </c>
      <c r="I475" s="5">
        <v>2.2400000000000002</v>
      </c>
      <c r="J475" s="3">
        <v>2417</v>
      </c>
      <c r="K475" s="3">
        <f t="shared" si="34"/>
        <v>1079.0178571428571</v>
      </c>
      <c r="L475" s="3">
        <v>111</v>
      </c>
      <c r="M475" s="5">
        <v>8.23</v>
      </c>
      <c r="N475" s="5"/>
      <c r="O475" s="5"/>
      <c r="P475" s="8">
        <v>37531</v>
      </c>
      <c r="Q475" s="6">
        <v>28.2</v>
      </c>
      <c r="R475" s="5">
        <v>3.41</v>
      </c>
      <c r="S475" s="6">
        <v>7.8</v>
      </c>
      <c r="T475" s="3"/>
    </row>
    <row r="476" spans="1:20" s="4" customFormat="1" ht="15" customHeight="1" x14ac:dyDescent="0.2">
      <c r="A476" s="4">
        <v>2008</v>
      </c>
      <c r="B476" s="4" t="s">
        <v>91</v>
      </c>
      <c r="C476" s="4">
        <v>1</v>
      </c>
      <c r="D476" s="4">
        <v>3</v>
      </c>
      <c r="E476" s="4" t="s">
        <v>25</v>
      </c>
      <c r="F476" s="4">
        <v>7114</v>
      </c>
      <c r="H476" s="4" t="s">
        <v>24</v>
      </c>
      <c r="I476" s="5">
        <v>2.2400000000000002</v>
      </c>
      <c r="J476" s="3">
        <v>2417</v>
      </c>
      <c r="K476" s="3">
        <f t="shared" si="34"/>
        <v>1079.0178571428571</v>
      </c>
      <c r="L476" s="3"/>
      <c r="M476" s="5">
        <v>5.6</v>
      </c>
      <c r="N476" s="5">
        <f>SUM(M476/I476)</f>
        <v>2.4999999999999996</v>
      </c>
      <c r="O476" s="5">
        <f>SUM(M476*2000)/J476</f>
        <v>4.6338436077782372</v>
      </c>
      <c r="P476" s="8">
        <v>39748</v>
      </c>
      <c r="Q476" s="6">
        <v>40</v>
      </c>
      <c r="R476" s="5">
        <v>3.79</v>
      </c>
      <c r="S476" s="6">
        <v>9.1999999999999993</v>
      </c>
      <c r="T476" s="3"/>
    </row>
    <row r="477" spans="1:20" s="4" customFormat="1" ht="15" customHeight="1" x14ac:dyDescent="0.2">
      <c r="A477" s="4">
        <v>2010</v>
      </c>
      <c r="B477" s="4" t="s">
        <v>91</v>
      </c>
      <c r="C477" s="4">
        <v>1</v>
      </c>
      <c r="D477" s="4">
        <v>3</v>
      </c>
      <c r="E477" s="4" t="s">
        <v>25</v>
      </c>
      <c r="F477" s="4">
        <v>7114</v>
      </c>
      <c r="G477" s="4">
        <v>1982</v>
      </c>
      <c r="H477" s="4" t="s">
        <v>24</v>
      </c>
      <c r="I477" s="5">
        <v>4.4800000000000004</v>
      </c>
      <c r="J477" s="3">
        <v>4833</v>
      </c>
      <c r="K477" s="3">
        <f t="shared" si="34"/>
        <v>1078.7946428571427</v>
      </c>
      <c r="L477" s="3">
        <v>35</v>
      </c>
      <c r="M477" s="5">
        <v>7</v>
      </c>
      <c r="N477" s="5">
        <f>SUM(M477/I477)</f>
        <v>1.5624999999999998</v>
      </c>
      <c r="O477" s="5">
        <f>SUM(M477*2000)/J477</f>
        <v>2.8967515001034556</v>
      </c>
      <c r="P477" s="8">
        <v>40459</v>
      </c>
      <c r="Q477" s="6">
        <v>46</v>
      </c>
      <c r="R477" s="5">
        <v>3.45</v>
      </c>
      <c r="S477" s="6">
        <v>14</v>
      </c>
      <c r="T477" s="3"/>
    </row>
    <row r="478" spans="1:20" s="4" customFormat="1" ht="15" customHeight="1" x14ac:dyDescent="0.2">
      <c r="A478" s="4">
        <v>2012</v>
      </c>
      <c r="B478" s="4" t="s">
        <v>91</v>
      </c>
      <c r="C478" s="4">
        <v>1</v>
      </c>
      <c r="D478" s="4">
        <v>3</v>
      </c>
      <c r="E478" s="4" t="s">
        <v>25</v>
      </c>
      <c r="F478" s="4">
        <v>7114</v>
      </c>
      <c r="G478" s="4">
        <v>1983</v>
      </c>
      <c r="H478" s="4" t="s">
        <v>98</v>
      </c>
      <c r="I478" s="5">
        <v>4.4800000000000004</v>
      </c>
      <c r="J478" s="3">
        <v>4833</v>
      </c>
      <c r="K478" s="3">
        <f t="shared" si="34"/>
        <v>1078.7946428571427</v>
      </c>
      <c r="L478" s="3"/>
      <c r="M478" s="5">
        <v>2.62</v>
      </c>
      <c r="N478" s="5">
        <f>SUM(M478/I478)</f>
        <v>0.58482142857142849</v>
      </c>
      <c r="O478" s="5">
        <f>SUM(M478*2000)/J478</f>
        <v>1.0842127043244361</v>
      </c>
      <c r="P478" s="8">
        <v>41193</v>
      </c>
      <c r="Q478" s="6">
        <v>35.6</v>
      </c>
      <c r="R478" s="5">
        <v>3.67</v>
      </c>
      <c r="S478" s="6">
        <v>8.5</v>
      </c>
      <c r="T478" s="3"/>
    </row>
    <row r="479" spans="1:20" s="4" customFormat="1" ht="15" customHeight="1" x14ac:dyDescent="0.2">
      <c r="A479" s="4">
        <v>2010</v>
      </c>
      <c r="B479" s="4" t="s">
        <v>129</v>
      </c>
      <c r="C479" s="4" t="s">
        <v>134</v>
      </c>
      <c r="E479" s="4" t="s">
        <v>26</v>
      </c>
      <c r="I479" s="5"/>
      <c r="K479" s="3"/>
      <c r="L479" s="3"/>
      <c r="M479" s="5">
        <v>29.9</v>
      </c>
      <c r="N479" s="5"/>
      <c r="O479" s="5"/>
      <c r="P479" s="8">
        <v>40480</v>
      </c>
      <c r="Q479" s="6">
        <v>21.8</v>
      </c>
      <c r="R479" s="5">
        <v>3.1</v>
      </c>
      <c r="S479" s="6">
        <v>10.199999999999999</v>
      </c>
      <c r="T479" s="3"/>
    </row>
    <row r="480" spans="1:20" s="4" customFormat="1" ht="15" customHeight="1" x14ac:dyDescent="0.2">
      <c r="A480" s="4">
        <v>2011</v>
      </c>
      <c r="B480" s="4" t="s">
        <v>129</v>
      </c>
      <c r="C480" s="4" t="s">
        <v>134</v>
      </c>
      <c r="E480" s="4" t="s">
        <v>26</v>
      </c>
      <c r="I480" s="5"/>
      <c r="K480" s="3"/>
      <c r="L480" s="3">
        <v>165</v>
      </c>
      <c r="M480" s="5">
        <v>30.08</v>
      </c>
      <c r="N480" s="5"/>
      <c r="O480" s="5"/>
      <c r="P480" s="8">
        <v>40850</v>
      </c>
      <c r="Q480" s="6">
        <v>24</v>
      </c>
      <c r="R480" s="5">
        <v>3.4</v>
      </c>
      <c r="S480" s="6">
        <v>10.6</v>
      </c>
      <c r="T480" s="3"/>
    </row>
    <row r="481" spans="1:20" s="4" customFormat="1" ht="15" customHeight="1" x14ac:dyDescent="0.2">
      <c r="A481" s="4">
        <v>2012</v>
      </c>
      <c r="B481" s="4" t="s">
        <v>129</v>
      </c>
      <c r="C481" s="4" t="s">
        <v>134</v>
      </c>
      <c r="E481" s="4" t="s">
        <v>26</v>
      </c>
      <c r="I481" s="5"/>
      <c r="K481" s="3"/>
      <c r="L481" s="3"/>
      <c r="M481" s="5">
        <f>16.19+7.98+16.18</f>
        <v>40.35</v>
      </c>
      <c r="N481" s="5"/>
      <c r="O481" s="5"/>
      <c r="P481" s="8" t="s">
        <v>30</v>
      </c>
      <c r="Q481" s="6">
        <f>(21+21+21.2)/3</f>
        <v>21.066666666666666</v>
      </c>
      <c r="R481" s="5">
        <f>(3.14+3.11+3.11)/3</f>
        <v>3.1199999999999997</v>
      </c>
      <c r="S481" s="6">
        <f>(9.41+9.22+9.6)/3</f>
        <v>9.4100000000000019</v>
      </c>
      <c r="T481" s="3"/>
    </row>
    <row r="482" spans="1:20" s="4" customFormat="1" ht="15" customHeight="1" x14ac:dyDescent="0.25">
      <c r="A482" s="4">
        <v>2011</v>
      </c>
      <c r="B482" s="4" t="s">
        <v>97</v>
      </c>
      <c r="C482" s="4">
        <v>2</v>
      </c>
      <c r="D482" s="4">
        <v>9</v>
      </c>
      <c r="E482" s="4" t="s">
        <v>26</v>
      </c>
      <c r="F482" s="16">
        <v>53</v>
      </c>
      <c r="G482" s="16">
        <v>2009</v>
      </c>
      <c r="H482" s="16" t="s">
        <v>34</v>
      </c>
      <c r="I482" s="5">
        <v>1.9</v>
      </c>
      <c r="J482" s="4">
        <v>3054</v>
      </c>
      <c r="K482" s="3">
        <v>1607</v>
      </c>
      <c r="L482" s="3"/>
      <c r="M482" s="5">
        <v>4.0999999999999996</v>
      </c>
      <c r="N482" s="5">
        <f t="shared" ref="N482:N506" si="37">SUM(M482/I482)</f>
        <v>2.1578947368421053</v>
      </c>
      <c r="O482" s="5">
        <f t="shared" ref="O482:O506" si="38">SUM(M482*2000)/J482</f>
        <v>2.6850032743942371</v>
      </c>
      <c r="P482" s="8">
        <v>40847</v>
      </c>
      <c r="Q482" s="6"/>
      <c r="R482" s="5"/>
      <c r="S482" s="6"/>
      <c r="T482" s="3"/>
    </row>
    <row r="483" spans="1:20" s="4" customFormat="1" ht="15" customHeight="1" x14ac:dyDescent="0.25">
      <c r="A483" s="4">
        <v>2012</v>
      </c>
      <c r="B483" s="4" t="s">
        <v>97</v>
      </c>
      <c r="C483" s="4">
        <v>2</v>
      </c>
      <c r="D483" s="4">
        <v>9</v>
      </c>
      <c r="E483" s="4" t="s">
        <v>26</v>
      </c>
      <c r="F483" s="16">
        <v>54</v>
      </c>
      <c r="G483" s="16">
        <v>2009</v>
      </c>
      <c r="H483" s="16" t="s">
        <v>44</v>
      </c>
      <c r="I483" s="5">
        <v>1.9</v>
      </c>
      <c r="J483" s="4">
        <v>3054</v>
      </c>
      <c r="K483" s="3">
        <v>1607</v>
      </c>
      <c r="L483" s="3">
        <v>237</v>
      </c>
      <c r="M483" s="5">
        <v>7.83</v>
      </c>
      <c r="N483" s="5">
        <f t="shared" si="37"/>
        <v>4.121052631578948</v>
      </c>
      <c r="O483" s="5">
        <f t="shared" si="38"/>
        <v>5.1277013752455796</v>
      </c>
      <c r="P483" s="8">
        <v>41197</v>
      </c>
      <c r="Q483" s="6">
        <v>20.6</v>
      </c>
      <c r="R483" s="5">
        <v>9.56</v>
      </c>
      <c r="S483" s="6">
        <v>3.28</v>
      </c>
      <c r="T483" s="3"/>
    </row>
    <row r="484" spans="1:20" s="4" customFormat="1" ht="15" customHeight="1" x14ac:dyDescent="0.2">
      <c r="A484" s="4">
        <v>2000</v>
      </c>
      <c r="B484" s="4" t="s">
        <v>116</v>
      </c>
      <c r="C484" s="4">
        <v>1</v>
      </c>
      <c r="D484" s="4">
        <v>2</v>
      </c>
      <c r="E484" s="4" t="s">
        <v>26</v>
      </c>
      <c r="F484" s="4">
        <v>55</v>
      </c>
      <c r="G484" s="4">
        <v>1998</v>
      </c>
      <c r="H484" s="4" t="s">
        <v>62</v>
      </c>
      <c r="I484" s="5">
        <v>2.69</v>
      </c>
      <c r="J484" s="4">
        <v>3661</v>
      </c>
      <c r="K484" s="3">
        <f t="shared" ref="K484:K497" si="39">SUM(J484/I484)</f>
        <v>1360.9665427509294</v>
      </c>
      <c r="L484" s="3"/>
      <c r="M484" s="5">
        <v>4.9610000000000003</v>
      </c>
      <c r="N484" s="5">
        <f t="shared" si="37"/>
        <v>1.8442379182156134</v>
      </c>
      <c r="O484" s="5">
        <f t="shared" si="38"/>
        <v>2.7101884730947829</v>
      </c>
      <c r="P484" s="8">
        <v>37175</v>
      </c>
      <c r="Q484" s="6">
        <v>17.600000000000001</v>
      </c>
      <c r="R484" s="5">
        <v>3.05</v>
      </c>
      <c r="S484" s="6">
        <v>11.4</v>
      </c>
      <c r="T484" s="3"/>
    </row>
    <row r="485" spans="1:20" s="4" customFormat="1" ht="15" customHeight="1" x14ac:dyDescent="0.2">
      <c r="A485" s="4">
        <v>2001</v>
      </c>
      <c r="B485" s="4" t="s">
        <v>116</v>
      </c>
      <c r="C485" s="4">
        <v>1</v>
      </c>
      <c r="D485" s="4">
        <v>2</v>
      </c>
      <c r="E485" s="4" t="s">
        <v>26</v>
      </c>
      <c r="F485" s="4">
        <v>55</v>
      </c>
      <c r="G485" s="4">
        <v>1998</v>
      </c>
      <c r="H485" s="4" t="s">
        <v>62</v>
      </c>
      <c r="I485" s="5">
        <v>2.69</v>
      </c>
      <c r="J485" s="4">
        <v>3661</v>
      </c>
      <c r="K485" s="3">
        <f t="shared" si="39"/>
        <v>1360.9665427509294</v>
      </c>
      <c r="L485" s="3"/>
      <c r="M485" s="5">
        <v>10.240500000000001</v>
      </c>
      <c r="N485" s="5">
        <f t="shared" si="37"/>
        <v>3.8068773234200748</v>
      </c>
      <c r="O485" s="5">
        <f t="shared" si="38"/>
        <v>5.5943731220977879</v>
      </c>
      <c r="P485" s="8">
        <v>37187</v>
      </c>
      <c r="Q485" s="6">
        <v>18.600000000000001</v>
      </c>
      <c r="R485" s="5">
        <v>3.1</v>
      </c>
      <c r="S485" s="6">
        <v>11</v>
      </c>
      <c r="T485" s="3"/>
    </row>
    <row r="486" spans="1:20" s="4" customFormat="1" ht="15" customHeight="1" x14ac:dyDescent="0.2">
      <c r="A486" s="4">
        <v>2002</v>
      </c>
      <c r="B486" s="4" t="s">
        <v>116</v>
      </c>
      <c r="C486" s="4">
        <v>1</v>
      </c>
      <c r="D486" s="4">
        <v>2</v>
      </c>
      <c r="E486" s="4" t="s">
        <v>26</v>
      </c>
      <c r="F486" s="4">
        <v>55</v>
      </c>
      <c r="G486" s="4">
        <v>1998</v>
      </c>
      <c r="H486" s="4" t="s">
        <v>62</v>
      </c>
      <c r="I486" s="5">
        <v>2.69</v>
      </c>
      <c r="J486" s="4">
        <v>3661</v>
      </c>
      <c r="K486" s="3">
        <f t="shared" si="39"/>
        <v>1360.9665427509294</v>
      </c>
      <c r="L486" s="3">
        <v>219</v>
      </c>
      <c r="M486" s="5">
        <v>14.48</v>
      </c>
      <c r="N486" s="5">
        <f t="shared" si="37"/>
        <v>5.3828996282527886</v>
      </c>
      <c r="O486" s="5">
        <f t="shared" si="38"/>
        <v>7.9104069926249663</v>
      </c>
      <c r="P486" s="8">
        <v>37547</v>
      </c>
      <c r="Q486" s="6">
        <v>19.2</v>
      </c>
      <c r="R486" s="5">
        <v>3.29</v>
      </c>
      <c r="S486" s="6">
        <v>9.1999999999999993</v>
      </c>
      <c r="T486" s="3"/>
    </row>
    <row r="487" spans="1:20" s="4" customFormat="1" ht="15" customHeight="1" x14ac:dyDescent="0.2">
      <c r="A487" s="4">
        <v>2003</v>
      </c>
      <c r="B487" s="4" t="s">
        <v>116</v>
      </c>
      <c r="C487" s="4">
        <v>1</v>
      </c>
      <c r="D487" s="4">
        <v>2</v>
      </c>
      <c r="E487" s="4" t="s">
        <v>26</v>
      </c>
      <c r="F487" s="4">
        <v>55</v>
      </c>
      <c r="G487" s="4">
        <v>1998</v>
      </c>
      <c r="H487" s="4" t="s">
        <v>62</v>
      </c>
      <c r="I487" s="5">
        <v>2.69</v>
      </c>
      <c r="J487" s="4">
        <v>3661</v>
      </c>
      <c r="K487" s="3">
        <f t="shared" si="39"/>
        <v>1360.9665427509294</v>
      </c>
      <c r="L487" s="3">
        <v>215</v>
      </c>
      <c r="M487" s="5">
        <v>12.7</v>
      </c>
      <c r="N487" s="5">
        <f t="shared" si="37"/>
        <v>4.7211895910780663</v>
      </c>
      <c r="O487" s="5">
        <f t="shared" si="38"/>
        <v>6.9379950833105708</v>
      </c>
      <c r="P487" s="8">
        <v>37909</v>
      </c>
      <c r="Q487" s="6">
        <v>19.600000000000001</v>
      </c>
      <c r="R487" s="5">
        <v>3.33</v>
      </c>
      <c r="S487" s="6">
        <v>6</v>
      </c>
      <c r="T487" s="3"/>
    </row>
    <row r="488" spans="1:20" s="4" customFormat="1" ht="15" customHeight="1" x14ac:dyDescent="0.2">
      <c r="A488" s="4">
        <v>2004</v>
      </c>
      <c r="B488" s="4" t="s">
        <v>116</v>
      </c>
      <c r="C488" s="4">
        <v>1</v>
      </c>
      <c r="D488" s="4">
        <v>2</v>
      </c>
      <c r="E488" s="4" t="s">
        <v>26</v>
      </c>
      <c r="F488" s="4">
        <v>55</v>
      </c>
      <c r="G488" s="4">
        <v>1998</v>
      </c>
      <c r="H488" s="4" t="s">
        <v>62</v>
      </c>
      <c r="I488" s="5">
        <v>2.69</v>
      </c>
      <c r="J488" s="4">
        <v>3661</v>
      </c>
      <c r="K488" s="3">
        <f t="shared" si="39"/>
        <v>1360.9665427509294</v>
      </c>
      <c r="L488" s="3">
        <v>180</v>
      </c>
      <c r="M488" s="5">
        <v>9.6999999999999993</v>
      </c>
      <c r="N488" s="5">
        <f t="shared" si="37"/>
        <v>3.6059479553903344</v>
      </c>
      <c r="O488" s="5">
        <f t="shared" si="38"/>
        <v>5.2990986069379948</v>
      </c>
      <c r="P488" s="8">
        <v>38278</v>
      </c>
      <c r="Q488" s="6">
        <v>23.4</v>
      </c>
      <c r="R488" s="5">
        <v>3.41</v>
      </c>
      <c r="S488" s="6">
        <v>7.7</v>
      </c>
      <c r="T488" s="3"/>
    </row>
    <row r="489" spans="1:20" s="4" customFormat="1" ht="15" customHeight="1" x14ac:dyDescent="0.2">
      <c r="A489" s="4">
        <v>2005</v>
      </c>
      <c r="B489" s="4" t="s">
        <v>116</v>
      </c>
      <c r="C489" s="4">
        <v>1</v>
      </c>
      <c r="D489" s="4">
        <v>2</v>
      </c>
      <c r="E489" s="4" t="s">
        <v>26</v>
      </c>
      <c r="F489" s="4">
        <v>55</v>
      </c>
      <c r="G489" s="4">
        <v>1998</v>
      </c>
      <c r="H489" s="4" t="s">
        <v>62</v>
      </c>
      <c r="I489" s="5">
        <v>2.69</v>
      </c>
      <c r="J489" s="4">
        <v>3661</v>
      </c>
      <c r="K489" s="3">
        <f t="shared" si="39"/>
        <v>1360.9665427509294</v>
      </c>
      <c r="L489" s="3">
        <v>155</v>
      </c>
      <c r="M489" s="5">
        <v>5.4</v>
      </c>
      <c r="N489" s="5">
        <f t="shared" si="37"/>
        <v>2.0074349442379185</v>
      </c>
      <c r="O489" s="5">
        <f t="shared" si="38"/>
        <v>2.9500136574706364</v>
      </c>
      <c r="P489" s="8">
        <v>38639</v>
      </c>
      <c r="Q489" s="6">
        <v>23.2</v>
      </c>
      <c r="R489" s="5">
        <v>3.21</v>
      </c>
      <c r="S489" s="6">
        <v>7.7</v>
      </c>
      <c r="T489" s="3"/>
    </row>
    <row r="490" spans="1:20" s="4" customFormat="1" ht="15" customHeight="1" x14ac:dyDescent="0.2">
      <c r="A490" s="4">
        <v>2006</v>
      </c>
      <c r="B490" s="4" t="s">
        <v>116</v>
      </c>
      <c r="C490" s="4">
        <v>1</v>
      </c>
      <c r="D490" s="4">
        <v>2</v>
      </c>
      <c r="E490" s="4" t="s">
        <v>26</v>
      </c>
      <c r="F490" s="4">
        <v>55</v>
      </c>
      <c r="G490" s="4">
        <v>1998</v>
      </c>
      <c r="H490" s="4" t="s">
        <v>62</v>
      </c>
      <c r="I490" s="5">
        <v>2.69</v>
      </c>
      <c r="J490" s="4">
        <v>3661</v>
      </c>
      <c r="K490" s="3">
        <f t="shared" si="39"/>
        <v>1360.9665427509294</v>
      </c>
      <c r="L490" s="3">
        <v>175</v>
      </c>
      <c r="M490" s="5">
        <v>18.8</v>
      </c>
      <c r="N490" s="5">
        <f t="shared" si="37"/>
        <v>6.988847583643123</v>
      </c>
      <c r="O490" s="5">
        <f t="shared" si="38"/>
        <v>10.270417918601474</v>
      </c>
      <c r="P490" s="8">
        <v>39007</v>
      </c>
      <c r="Q490" s="6">
        <v>18</v>
      </c>
      <c r="R490" s="5">
        <v>3.3</v>
      </c>
      <c r="S490" s="6">
        <v>7.6</v>
      </c>
      <c r="T490" s="3"/>
    </row>
    <row r="491" spans="1:20" s="4" customFormat="1" ht="15" customHeight="1" x14ac:dyDescent="0.2">
      <c r="A491" s="4">
        <v>2007</v>
      </c>
      <c r="B491" s="4" t="s">
        <v>116</v>
      </c>
      <c r="C491" s="4">
        <v>1</v>
      </c>
      <c r="D491" s="4">
        <v>2</v>
      </c>
      <c r="E491" s="4" t="s">
        <v>26</v>
      </c>
      <c r="F491" s="4">
        <v>55</v>
      </c>
      <c r="G491" s="4">
        <v>1998</v>
      </c>
      <c r="H491" s="4" t="s">
        <v>62</v>
      </c>
      <c r="I491" s="5">
        <v>2.69</v>
      </c>
      <c r="J491" s="4">
        <v>3661</v>
      </c>
      <c r="K491" s="3">
        <f t="shared" si="39"/>
        <v>1360.9665427509294</v>
      </c>
      <c r="L491" s="3"/>
      <c r="M491" s="5">
        <v>0.35</v>
      </c>
      <c r="N491" s="5">
        <f t="shared" si="37"/>
        <v>0.13011152416356878</v>
      </c>
      <c r="O491" s="5">
        <f t="shared" si="38"/>
        <v>0.19120458891013384</v>
      </c>
      <c r="P491" s="8">
        <v>39375</v>
      </c>
      <c r="Q491" s="6"/>
      <c r="R491" s="5"/>
      <c r="S491" s="6"/>
      <c r="T491" s="3"/>
    </row>
    <row r="492" spans="1:20" s="4" customFormat="1" ht="15" customHeight="1" x14ac:dyDescent="0.2">
      <c r="A492" s="4">
        <v>2008</v>
      </c>
      <c r="B492" s="4" t="s">
        <v>116</v>
      </c>
      <c r="C492" s="4">
        <v>1</v>
      </c>
      <c r="D492" s="4">
        <v>2</v>
      </c>
      <c r="E492" s="4" t="s">
        <v>26</v>
      </c>
      <c r="F492" s="4">
        <v>55</v>
      </c>
      <c r="G492" s="4">
        <v>1998</v>
      </c>
      <c r="H492" s="4" t="s">
        <v>62</v>
      </c>
      <c r="I492" s="5">
        <v>2.69</v>
      </c>
      <c r="J492" s="4">
        <v>3661</v>
      </c>
      <c r="K492" s="3">
        <f t="shared" si="39"/>
        <v>1360.9665427509294</v>
      </c>
      <c r="L492" s="3">
        <v>237</v>
      </c>
      <c r="M492" s="5">
        <v>13</v>
      </c>
      <c r="N492" s="5">
        <f t="shared" si="37"/>
        <v>4.8327137546468402</v>
      </c>
      <c r="O492" s="5">
        <f t="shared" si="38"/>
        <v>7.1018847309478286</v>
      </c>
      <c r="P492" s="8">
        <v>39738</v>
      </c>
      <c r="Q492" s="6">
        <v>18.8</v>
      </c>
      <c r="R492" s="5">
        <v>3.27</v>
      </c>
      <c r="S492" s="6">
        <v>11.3</v>
      </c>
      <c r="T492" s="3"/>
    </row>
    <row r="493" spans="1:20" s="4" customFormat="1" ht="15" customHeight="1" x14ac:dyDescent="0.2">
      <c r="A493" s="4">
        <v>2009</v>
      </c>
      <c r="B493" s="4" t="s">
        <v>116</v>
      </c>
      <c r="C493" s="4">
        <v>1</v>
      </c>
      <c r="D493" s="4">
        <v>2</v>
      </c>
      <c r="E493" s="4" t="s">
        <v>26</v>
      </c>
      <c r="F493" s="4">
        <v>55</v>
      </c>
      <c r="G493" s="4">
        <v>1998</v>
      </c>
      <c r="H493" s="4" t="s">
        <v>62</v>
      </c>
      <c r="I493" s="5">
        <v>2.69</v>
      </c>
      <c r="J493" s="4">
        <v>3661</v>
      </c>
      <c r="K493" s="3">
        <f t="shared" si="39"/>
        <v>1360.9665427509294</v>
      </c>
      <c r="L493" s="3">
        <v>245</v>
      </c>
      <c r="M493" s="5">
        <v>0.3</v>
      </c>
      <c r="N493" s="5">
        <f t="shared" si="37"/>
        <v>0.11152416356877323</v>
      </c>
      <c r="O493" s="5">
        <f t="shared" si="38"/>
        <v>0.16388964763725758</v>
      </c>
      <c r="P493" s="8">
        <v>40093</v>
      </c>
      <c r="Q493" s="6">
        <v>25.8</v>
      </c>
      <c r="R493" s="5">
        <v>3.69</v>
      </c>
      <c r="S493" s="6">
        <v>5.7</v>
      </c>
      <c r="T493" s="3"/>
    </row>
    <row r="494" spans="1:20" s="4" customFormat="1" ht="15" customHeight="1" x14ac:dyDescent="0.2">
      <c r="A494" s="4">
        <v>2000</v>
      </c>
      <c r="B494" s="4" t="s">
        <v>91</v>
      </c>
      <c r="C494" s="4">
        <v>1</v>
      </c>
      <c r="D494" s="4">
        <v>5</v>
      </c>
      <c r="E494" s="4" t="s">
        <v>26</v>
      </c>
      <c r="F494" s="4">
        <v>55</v>
      </c>
      <c r="G494" s="4">
        <v>1997</v>
      </c>
      <c r="H494" s="4" t="s">
        <v>27</v>
      </c>
      <c r="I494" s="5">
        <v>4.5</v>
      </c>
      <c r="J494" s="3">
        <v>4059</v>
      </c>
      <c r="K494" s="3">
        <f t="shared" si="39"/>
        <v>902</v>
      </c>
      <c r="L494" s="3">
        <v>250</v>
      </c>
      <c r="M494" s="5">
        <v>18.91</v>
      </c>
      <c r="N494" s="5">
        <f t="shared" si="37"/>
        <v>4.2022222222222219</v>
      </c>
      <c r="O494" s="5">
        <f t="shared" si="38"/>
        <v>9.3175659029317561</v>
      </c>
      <c r="P494" s="8">
        <v>37559</v>
      </c>
      <c r="Q494" s="6">
        <v>18.8</v>
      </c>
      <c r="R494" s="5">
        <v>3.05</v>
      </c>
      <c r="S494" s="6">
        <v>10.3</v>
      </c>
      <c r="T494" s="3"/>
    </row>
    <row r="495" spans="1:20" s="4" customFormat="1" ht="15" customHeight="1" x14ac:dyDescent="0.2">
      <c r="A495" s="4">
        <v>2001</v>
      </c>
      <c r="B495" s="4" t="s">
        <v>91</v>
      </c>
      <c r="C495" s="4">
        <v>1</v>
      </c>
      <c r="D495" s="4">
        <v>5</v>
      </c>
      <c r="E495" s="4" t="s">
        <v>26</v>
      </c>
      <c r="F495" s="4">
        <v>55</v>
      </c>
      <c r="G495" s="4">
        <v>1997</v>
      </c>
      <c r="H495" s="4" t="s">
        <v>27</v>
      </c>
      <c r="I495" s="5">
        <v>4.5</v>
      </c>
      <c r="J495" s="3">
        <v>4059</v>
      </c>
      <c r="K495" s="3">
        <f t="shared" si="39"/>
        <v>902</v>
      </c>
      <c r="L495" s="3">
        <v>261</v>
      </c>
      <c r="M495" s="5">
        <v>14.4</v>
      </c>
      <c r="N495" s="5">
        <f t="shared" si="37"/>
        <v>3.2</v>
      </c>
      <c r="O495" s="5">
        <f t="shared" si="38"/>
        <v>7.0953436807095347</v>
      </c>
      <c r="P495" s="8">
        <v>37545</v>
      </c>
      <c r="Q495" s="6">
        <v>21.4</v>
      </c>
      <c r="R495" s="5">
        <v>3.29</v>
      </c>
      <c r="S495" s="6">
        <v>10.7</v>
      </c>
      <c r="T495" s="3"/>
    </row>
    <row r="496" spans="1:20" s="4" customFormat="1" ht="15" customHeight="1" x14ac:dyDescent="0.2">
      <c r="A496" s="4">
        <v>2002</v>
      </c>
      <c r="B496" s="4" t="s">
        <v>91</v>
      </c>
      <c r="C496" s="4">
        <v>1</v>
      </c>
      <c r="D496" s="4">
        <v>5</v>
      </c>
      <c r="E496" s="4" t="s">
        <v>26</v>
      </c>
      <c r="F496" s="4">
        <v>55</v>
      </c>
      <c r="G496" s="4">
        <v>1997</v>
      </c>
      <c r="H496" s="4" t="s">
        <v>27</v>
      </c>
      <c r="I496" s="5">
        <v>4.5</v>
      </c>
      <c r="J496" s="3">
        <v>4059</v>
      </c>
      <c r="K496" s="3">
        <f t="shared" si="39"/>
        <v>902</v>
      </c>
      <c r="L496" s="3">
        <v>260</v>
      </c>
      <c r="M496" s="5">
        <v>17.89</v>
      </c>
      <c r="N496" s="5">
        <f t="shared" si="37"/>
        <v>3.9755555555555557</v>
      </c>
      <c r="O496" s="5">
        <f t="shared" si="38"/>
        <v>8.814979058881498</v>
      </c>
      <c r="P496" s="8">
        <v>37905</v>
      </c>
      <c r="Q496" s="6">
        <v>23</v>
      </c>
      <c r="R496" s="5">
        <v>3.46</v>
      </c>
      <c r="S496" s="6">
        <v>5.7</v>
      </c>
      <c r="T496" s="3"/>
    </row>
    <row r="497" spans="1:20" s="4" customFormat="1" ht="15" customHeight="1" x14ac:dyDescent="0.2">
      <c r="A497" s="4">
        <v>2003</v>
      </c>
      <c r="B497" s="4" t="s">
        <v>91</v>
      </c>
      <c r="C497" s="4">
        <v>1</v>
      </c>
      <c r="D497" s="4">
        <v>5</v>
      </c>
      <c r="E497" s="4" t="s">
        <v>26</v>
      </c>
      <c r="F497" s="4">
        <v>55</v>
      </c>
      <c r="G497" s="4">
        <v>1997</v>
      </c>
      <c r="H497" s="4" t="s">
        <v>27</v>
      </c>
      <c r="I497" s="5">
        <v>4.5</v>
      </c>
      <c r="J497" s="3">
        <v>4059</v>
      </c>
      <c r="K497" s="3">
        <f t="shared" si="39"/>
        <v>902</v>
      </c>
      <c r="L497" s="3">
        <v>205</v>
      </c>
      <c r="M497" s="5">
        <v>20.100000000000001</v>
      </c>
      <c r="N497" s="5">
        <f t="shared" si="37"/>
        <v>4.4666666666666668</v>
      </c>
      <c r="O497" s="5">
        <f t="shared" si="38"/>
        <v>9.9039172209903921</v>
      </c>
      <c r="P497" s="8">
        <v>37908</v>
      </c>
      <c r="Q497" s="6">
        <v>23</v>
      </c>
      <c r="R497" s="5">
        <v>3.41</v>
      </c>
      <c r="S497" s="6">
        <v>4.9000000000000004</v>
      </c>
      <c r="T497" s="3"/>
    </row>
    <row r="498" spans="1:20" s="4" customFormat="1" ht="15" customHeight="1" x14ac:dyDescent="0.2">
      <c r="A498" s="4">
        <v>2004</v>
      </c>
      <c r="B498" s="4" t="s">
        <v>91</v>
      </c>
      <c r="C498" s="4">
        <v>1</v>
      </c>
      <c r="D498" s="4">
        <v>5</v>
      </c>
      <c r="E498" s="4" t="s">
        <v>26</v>
      </c>
      <c r="F498" s="4">
        <v>55</v>
      </c>
      <c r="G498" s="4">
        <v>1997</v>
      </c>
      <c r="H498" s="4" t="s">
        <v>27</v>
      </c>
      <c r="I498" s="5">
        <v>4.5</v>
      </c>
      <c r="J498" s="3">
        <v>4059</v>
      </c>
      <c r="K498" s="3">
        <v>1376</v>
      </c>
      <c r="L498" s="3">
        <v>283</v>
      </c>
      <c r="M498" s="5">
        <v>21</v>
      </c>
      <c r="N498" s="5">
        <f t="shared" si="37"/>
        <v>4.666666666666667</v>
      </c>
      <c r="O498" s="5">
        <f t="shared" si="38"/>
        <v>10.347376201034738</v>
      </c>
      <c r="P498" s="8">
        <v>38275</v>
      </c>
      <c r="Q498" s="6">
        <v>23</v>
      </c>
      <c r="R498" s="5">
        <v>3.48</v>
      </c>
      <c r="S498" s="6">
        <v>5.2</v>
      </c>
      <c r="T498" s="3"/>
    </row>
    <row r="499" spans="1:20" s="4" customFormat="1" ht="15" customHeight="1" x14ac:dyDescent="0.2">
      <c r="A499" s="4">
        <v>2005</v>
      </c>
      <c r="B499" s="4" t="s">
        <v>91</v>
      </c>
      <c r="C499" s="4">
        <v>1</v>
      </c>
      <c r="D499" s="4">
        <v>5</v>
      </c>
      <c r="E499" s="4" t="s">
        <v>26</v>
      </c>
      <c r="F499" s="4">
        <v>55</v>
      </c>
      <c r="G499" s="4">
        <v>1997</v>
      </c>
      <c r="H499" s="4" t="s">
        <v>27</v>
      </c>
      <c r="I499" s="5">
        <v>4.5</v>
      </c>
      <c r="J499" s="3">
        <v>4059</v>
      </c>
      <c r="K499" s="3">
        <v>1376</v>
      </c>
      <c r="L499" s="3">
        <v>230</v>
      </c>
      <c r="M499" s="5">
        <v>12.4</v>
      </c>
      <c r="N499" s="5">
        <f t="shared" si="37"/>
        <v>2.7555555555555555</v>
      </c>
      <c r="O499" s="5">
        <f t="shared" si="38"/>
        <v>6.1098792806109881</v>
      </c>
      <c r="P499" s="8">
        <v>38636</v>
      </c>
      <c r="Q499" s="6">
        <v>23.8</v>
      </c>
      <c r="R499" s="5">
        <v>3.2</v>
      </c>
      <c r="S499" s="6">
        <v>7.6</v>
      </c>
      <c r="T499" s="3"/>
    </row>
    <row r="500" spans="1:20" s="4" customFormat="1" ht="15" customHeight="1" x14ac:dyDescent="0.2">
      <c r="A500" s="4">
        <v>2006</v>
      </c>
      <c r="B500" s="4" t="s">
        <v>91</v>
      </c>
      <c r="C500" s="4">
        <v>1</v>
      </c>
      <c r="D500" s="4">
        <v>5</v>
      </c>
      <c r="E500" s="4" t="s">
        <v>26</v>
      </c>
      <c r="F500" s="4">
        <v>55</v>
      </c>
      <c r="G500" s="4">
        <v>1997</v>
      </c>
      <c r="H500" s="4" t="s">
        <v>27</v>
      </c>
      <c r="I500" s="5">
        <v>4.5</v>
      </c>
      <c r="J500" s="3">
        <v>4059</v>
      </c>
      <c r="K500" s="3">
        <v>1376</v>
      </c>
      <c r="L500" s="3">
        <v>230</v>
      </c>
      <c r="M500" s="5">
        <v>32.700000000000003</v>
      </c>
      <c r="N500" s="5">
        <f t="shared" si="37"/>
        <v>7.2666666666666675</v>
      </c>
      <c r="O500" s="5">
        <f t="shared" si="38"/>
        <v>16.112342941611235</v>
      </c>
      <c r="P500" s="8">
        <v>39020</v>
      </c>
      <c r="Q500" s="6">
        <v>19.2</v>
      </c>
      <c r="R500" s="5">
        <v>3.38</v>
      </c>
      <c r="S500" s="6">
        <v>5.4</v>
      </c>
      <c r="T500" s="3"/>
    </row>
    <row r="501" spans="1:20" s="4" customFormat="1" ht="15" customHeight="1" x14ac:dyDescent="0.2">
      <c r="A501" s="4">
        <v>2007</v>
      </c>
      <c r="B501" s="4" t="s">
        <v>91</v>
      </c>
      <c r="C501" s="4">
        <v>1</v>
      </c>
      <c r="D501" s="4">
        <v>5</v>
      </c>
      <c r="E501" s="4" t="s">
        <v>26</v>
      </c>
      <c r="F501" s="4">
        <v>55</v>
      </c>
      <c r="G501" s="4">
        <v>1997</v>
      </c>
      <c r="H501" s="4" t="s">
        <v>27</v>
      </c>
      <c r="I501" s="5">
        <v>3.63</v>
      </c>
      <c r="J501" s="3">
        <v>4059</v>
      </c>
      <c r="K501" s="3">
        <v>1376</v>
      </c>
      <c r="L501" s="3">
        <v>230</v>
      </c>
      <c r="M501" s="5">
        <v>4.0999999999999996</v>
      </c>
      <c r="N501" s="5">
        <f t="shared" si="37"/>
        <v>1.1294765840220384</v>
      </c>
      <c r="O501" s="5">
        <f t="shared" si="38"/>
        <v>2.0202020202020203</v>
      </c>
      <c r="P501" s="8">
        <v>39371</v>
      </c>
      <c r="Q501" s="6">
        <v>24.2</v>
      </c>
      <c r="R501" s="5">
        <v>3.4</v>
      </c>
      <c r="S501" s="6">
        <v>7</v>
      </c>
      <c r="T501" s="3"/>
    </row>
    <row r="502" spans="1:20" s="4" customFormat="1" ht="15" customHeight="1" x14ac:dyDescent="0.2">
      <c r="A502" s="4">
        <v>2008</v>
      </c>
      <c r="B502" s="4" t="s">
        <v>91</v>
      </c>
      <c r="C502" s="4">
        <v>1</v>
      </c>
      <c r="D502" s="4">
        <v>5</v>
      </c>
      <c r="E502" s="4" t="s">
        <v>26</v>
      </c>
      <c r="F502" s="4">
        <v>55</v>
      </c>
      <c r="G502" s="4">
        <v>1997</v>
      </c>
      <c r="H502" s="4" t="s">
        <v>27</v>
      </c>
      <c r="I502" s="5">
        <v>3.63</v>
      </c>
      <c r="J502" s="3">
        <v>4059</v>
      </c>
      <c r="K502" s="3">
        <v>1376</v>
      </c>
      <c r="L502" s="3">
        <v>232</v>
      </c>
      <c r="M502" s="5">
        <v>28.4</v>
      </c>
      <c r="N502" s="5">
        <f t="shared" si="37"/>
        <v>7.8236914600550964</v>
      </c>
      <c r="O502" s="5">
        <f t="shared" si="38"/>
        <v>13.993594481399359</v>
      </c>
      <c r="P502" s="8">
        <v>39738</v>
      </c>
      <c r="Q502" s="6">
        <v>18.8</v>
      </c>
      <c r="R502" s="5">
        <v>3.27</v>
      </c>
      <c r="S502" s="6">
        <v>11.3</v>
      </c>
      <c r="T502" s="3"/>
    </row>
    <row r="503" spans="1:20" s="4" customFormat="1" ht="15" customHeight="1" x14ac:dyDescent="0.2">
      <c r="A503" s="4">
        <v>2009</v>
      </c>
      <c r="B503" s="4" t="s">
        <v>91</v>
      </c>
      <c r="C503" s="4">
        <v>1</v>
      </c>
      <c r="D503" s="4">
        <v>5</v>
      </c>
      <c r="E503" s="4" t="s">
        <v>26</v>
      </c>
      <c r="F503" s="4">
        <v>55</v>
      </c>
      <c r="G503" s="4">
        <v>1997</v>
      </c>
      <c r="H503" s="4" t="s">
        <v>27</v>
      </c>
      <c r="I503" s="5">
        <v>3.63</v>
      </c>
      <c r="J503" s="3">
        <v>4059</v>
      </c>
      <c r="K503" s="3">
        <v>1376</v>
      </c>
      <c r="L503" s="3">
        <v>245</v>
      </c>
      <c r="M503" s="5">
        <v>11.2</v>
      </c>
      <c r="N503" s="5">
        <f t="shared" si="37"/>
        <v>3.0853994490358128</v>
      </c>
      <c r="O503" s="5">
        <f t="shared" si="38"/>
        <v>5.5186006405518597</v>
      </c>
      <c r="P503" s="8">
        <v>40093</v>
      </c>
      <c r="Q503" s="6">
        <v>25.8</v>
      </c>
      <c r="R503" s="5">
        <v>3.69</v>
      </c>
      <c r="S503" s="6">
        <v>5.7</v>
      </c>
      <c r="T503" s="3"/>
    </row>
    <row r="504" spans="1:20" s="4" customFormat="1" ht="15" customHeight="1" x14ac:dyDescent="0.2">
      <c r="A504" s="4">
        <v>2010</v>
      </c>
      <c r="B504" s="4" t="s">
        <v>91</v>
      </c>
      <c r="C504" s="4">
        <v>1</v>
      </c>
      <c r="D504" s="4">
        <v>5</v>
      </c>
      <c r="E504" s="4" t="s">
        <v>26</v>
      </c>
      <c r="F504" s="4">
        <v>55</v>
      </c>
      <c r="G504" s="4">
        <v>1997</v>
      </c>
      <c r="H504" s="4" t="s">
        <v>27</v>
      </c>
      <c r="I504" s="5">
        <v>3.63</v>
      </c>
      <c r="J504" s="3">
        <v>4059</v>
      </c>
      <c r="K504" s="3">
        <v>1376</v>
      </c>
      <c r="L504" s="3">
        <v>153</v>
      </c>
      <c r="M504" s="5">
        <v>17.399999999999999</v>
      </c>
      <c r="N504" s="5">
        <f t="shared" si="37"/>
        <v>4.7933884297520661</v>
      </c>
      <c r="O504" s="5">
        <f t="shared" si="38"/>
        <v>8.5735402808573546</v>
      </c>
      <c r="P504" s="8">
        <v>40464</v>
      </c>
      <c r="Q504" s="6">
        <v>22.4</v>
      </c>
      <c r="R504" s="5">
        <v>3.35</v>
      </c>
      <c r="S504" s="6">
        <v>8.6999999999999993</v>
      </c>
      <c r="T504" s="3"/>
    </row>
    <row r="505" spans="1:20" s="4" customFormat="1" ht="15" customHeight="1" x14ac:dyDescent="0.2">
      <c r="A505" s="4">
        <v>2011</v>
      </c>
      <c r="B505" s="4" t="s">
        <v>91</v>
      </c>
      <c r="C505" s="4">
        <v>1</v>
      </c>
      <c r="D505" s="4">
        <v>5</v>
      </c>
      <c r="E505" s="4" t="s">
        <v>26</v>
      </c>
      <c r="F505" s="4">
        <v>55</v>
      </c>
      <c r="G505" s="4">
        <v>1997</v>
      </c>
      <c r="H505" s="4" t="s">
        <v>27</v>
      </c>
      <c r="I505" s="5">
        <v>3.63</v>
      </c>
      <c r="J505" s="3">
        <v>4059</v>
      </c>
      <c r="K505" s="3">
        <v>1376</v>
      </c>
      <c r="L505" s="3">
        <v>230</v>
      </c>
      <c r="M505" s="5">
        <v>8.6199999999999992</v>
      </c>
      <c r="N505" s="5">
        <f t="shared" si="37"/>
        <v>2.3746556473829199</v>
      </c>
      <c r="O505" s="5">
        <f t="shared" si="38"/>
        <v>4.2473515644247355</v>
      </c>
      <c r="P505" s="8">
        <v>40846</v>
      </c>
      <c r="Q505" s="6">
        <v>22.4</v>
      </c>
      <c r="R505" s="5">
        <v>3.4</v>
      </c>
      <c r="S505" s="6">
        <v>7.4</v>
      </c>
      <c r="T505" s="3"/>
    </row>
    <row r="506" spans="1:20" s="4" customFormat="1" ht="15" customHeight="1" x14ac:dyDescent="0.2">
      <c r="A506" s="4">
        <v>2012</v>
      </c>
      <c r="B506" s="4" t="s">
        <v>91</v>
      </c>
      <c r="C506" s="4">
        <v>1</v>
      </c>
      <c r="D506" s="4">
        <v>5</v>
      </c>
      <c r="E506" s="4" t="s">
        <v>26</v>
      </c>
      <c r="F506" s="4">
        <v>55</v>
      </c>
      <c r="G506" s="4">
        <v>1997</v>
      </c>
      <c r="H506" s="4" t="s">
        <v>27</v>
      </c>
      <c r="I506" s="5">
        <v>3.63</v>
      </c>
      <c r="J506" s="3">
        <v>4059</v>
      </c>
      <c r="K506" s="3">
        <v>1376</v>
      </c>
      <c r="L506" s="3">
        <v>240</v>
      </c>
      <c r="M506" s="5">
        <v>20.27</v>
      </c>
      <c r="N506" s="5">
        <f t="shared" si="37"/>
        <v>5.5840220385674932</v>
      </c>
      <c r="O506" s="5">
        <f t="shared" si="38"/>
        <v>9.9876816949987681</v>
      </c>
      <c r="P506" s="8">
        <v>41197</v>
      </c>
      <c r="Q506" s="6">
        <f>(21.8+21.4)/2</f>
        <v>21.6</v>
      </c>
      <c r="R506" s="5">
        <f>(3.35+3.34)/2</f>
        <v>3.3449999999999998</v>
      </c>
      <c r="S506" s="6">
        <f>(6.63+7.01)/2</f>
        <v>6.82</v>
      </c>
      <c r="T506" s="3"/>
    </row>
    <row r="507" spans="1:20" s="4" customFormat="1" ht="15" customHeight="1" x14ac:dyDescent="0.2">
      <c r="A507" s="4">
        <v>2008</v>
      </c>
      <c r="B507" s="4" t="s">
        <v>120</v>
      </c>
      <c r="C507" s="4" t="s">
        <v>134</v>
      </c>
      <c r="E507" s="4" t="s">
        <v>73</v>
      </c>
      <c r="G507" s="1"/>
      <c r="H507" s="1"/>
      <c r="I507" s="5">
        <v>4</v>
      </c>
      <c r="K507" s="3"/>
      <c r="L507" s="3">
        <v>210</v>
      </c>
      <c r="M507" s="5">
        <v>34.799999999999997</v>
      </c>
      <c r="N507" s="5">
        <f>(M507/I507)</f>
        <v>8.6999999999999993</v>
      </c>
      <c r="O507" s="5"/>
      <c r="P507" s="8">
        <v>39741</v>
      </c>
      <c r="Q507" s="6">
        <v>19</v>
      </c>
      <c r="R507" s="5">
        <v>3.34</v>
      </c>
      <c r="S507" s="6">
        <v>9.83</v>
      </c>
      <c r="T507" s="3"/>
    </row>
    <row r="508" spans="1:20" s="4" customFormat="1" ht="15" customHeight="1" x14ac:dyDescent="0.2">
      <c r="A508" s="4">
        <v>2009</v>
      </c>
      <c r="B508" s="4" t="s">
        <v>120</v>
      </c>
      <c r="C508" s="4" t="s">
        <v>134</v>
      </c>
      <c r="E508" s="4" t="s">
        <v>73</v>
      </c>
      <c r="G508" s="1"/>
      <c r="H508" s="1"/>
      <c r="I508" s="5">
        <v>4</v>
      </c>
      <c r="K508" s="3"/>
      <c r="L508" s="3">
        <v>220</v>
      </c>
      <c r="M508" s="5">
        <v>13.3</v>
      </c>
      <c r="N508" s="5">
        <f>(M508/I508)</f>
        <v>3.3250000000000002</v>
      </c>
      <c r="O508" s="5"/>
      <c r="P508" s="8">
        <v>40093</v>
      </c>
      <c r="Q508" s="6">
        <v>22.6</v>
      </c>
      <c r="R508" s="5">
        <v>3.49</v>
      </c>
      <c r="S508" s="6">
        <v>5.7</v>
      </c>
      <c r="T508" s="3"/>
    </row>
    <row r="509" spans="1:20" s="4" customFormat="1" ht="15" customHeight="1" x14ac:dyDescent="0.2">
      <c r="A509" s="4">
        <v>2010</v>
      </c>
      <c r="B509" s="4" t="s">
        <v>120</v>
      </c>
      <c r="C509" s="4" t="s">
        <v>134</v>
      </c>
      <c r="E509" s="4" t="s">
        <v>73</v>
      </c>
      <c r="G509" s="1"/>
      <c r="H509" s="1"/>
      <c r="I509" s="5">
        <v>4</v>
      </c>
      <c r="K509" s="3"/>
      <c r="L509" s="3">
        <v>148</v>
      </c>
      <c r="M509" s="5">
        <v>10.199999999999999</v>
      </c>
      <c r="N509" s="5">
        <f>(M509/I509)</f>
        <v>2.5499999999999998</v>
      </c>
      <c r="O509" s="5"/>
      <c r="P509" s="8">
        <v>40467</v>
      </c>
      <c r="Q509" s="6">
        <v>24.2</v>
      </c>
      <c r="R509" s="5">
        <v>3.31</v>
      </c>
      <c r="S509" s="6">
        <v>9.4</v>
      </c>
      <c r="T509" s="3"/>
    </row>
    <row r="510" spans="1:20" s="4" customFormat="1" ht="15" customHeight="1" x14ac:dyDescent="0.2">
      <c r="A510" s="4">
        <v>2011</v>
      </c>
      <c r="B510" s="4" t="s">
        <v>120</v>
      </c>
      <c r="C510" s="4" t="s">
        <v>134</v>
      </c>
      <c r="E510" s="4" t="s">
        <v>73</v>
      </c>
      <c r="G510" s="1"/>
      <c r="H510" s="1"/>
      <c r="I510" s="5">
        <v>4</v>
      </c>
      <c r="K510" s="3"/>
      <c r="L510" s="3">
        <v>130</v>
      </c>
      <c r="M510" s="5">
        <v>28.04</v>
      </c>
      <c r="N510" s="5">
        <f>(M510/I510)</f>
        <v>7.01</v>
      </c>
      <c r="O510" s="5"/>
      <c r="P510" s="8">
        <v>40841</v>
      </c>
      <c r="Q510" s="6">
        <v>21.6</v>
      </c>
      <c r="R510" s="5">
        <v>3.41</v>
      </c>
      <c r="S510" s="6">
        <v>8.6</v>
      </c>
      <c r="T510" s="3"/>
    </row>
    <row r="511" spans="1:20" s="4" customFormat="1" ht="15" customHeight="1" x14ac:dyDescent="0.2">
      <c r="A511" s="4">
        <v>2012</v>
      </c>
      <c r="B511" s="4" t="s">
        <v>120</v>
      </c>
      <c r="C511" s="4" t="s">
        <v>134</v>
      </c>
      <c r="E511" s="4" t="s">
        <v>73</v>
      </c>
      <c r="G511" s="1"/>
      <c r="H511" s="1"/>
      <c r="I511" s="5">
        <v>4</v>
      </c>
      <c r="K511" s="3"/>
      <c r="L511" s="3">
        <v>150</v>
      </c>
      <c r="M511" s="5">
        <f>15.55+7.49</f>
        <v>23.04</v>
      </c>
      <c r="N511" s="5">
        <f>(M511/I511)</f>
        <v>5.76</v>
      </c>
      <c r="O511" s="5"/>
      <c r="P511" s="8" t="s">
        <v>74</v>
      </c>
      <c r="Q511" s="6">
        <f>(22.8+22.2)/2</f>
        <v>22.5</v>
      </c>
      <c r="R511" s="5">
        <f>(3.49+3.36)/2</f>
        <v>3.4249999999999998</v>
      </c>
      <c r="S511" s="6">
        <f>(8.36+8.25)/2</f>
        <v>8.3049999999999997</v>
      </c>
      <c r="T511" s="3"/>
    </row>
    <row r="512" spans="1:20" s="4" customFormat="1" ht="15" customHeight="1" x14ac:dyDescent="0.2">
      <c r="A512" s="4">
        <v>2011</v>
      </c>
      <c r="B512" s="4" t="s">
        <v>127</v>
      </c>
      <c r="C512" s="4" t="s">
        <v>135</v>
      </c>
      <c r="E512" s="4" t="s">
        <v>73</v>
      </c>
      <c r="I512" s="5"/>
      <c r="K512" s="3"/>
      <c r="L512" s="3">
        <v>180</v>
      </c>
      <c r="M512" s="5">
        <v>5.74</v>
      </c>
      <c r="N512" s="5"/>
      <c r="O512" s="5"/>
      <c r="P512" s="8">
        <v>40837</v>
      </c>
      <c r="Q512" s="6">
        <v>23</v>
      </c>
      <c r="R512" s="5">
        <v>3.24</v>
      </c>
      <c r="S512" s="6">
        <v>8.4</v>
      </c>
      <c r="T512" s="3"/>
    </row>
    <row r="513" spans="1:20" s="4" customFormat="1" ht="15" customHeight="1" x14ac:dyDescent="0.2">
      <c r="A513" s="4">
        <v>2012</v>
      </c>
      <c r="B513" s="4" t="s">
        <v>127</v>
      </c>
      <c r="C513" s="4" t="s">
        <v>135</v>
      </c>
      <c r="E513" s="4" t="s">
        <v>73</v>
      </c>
      <c r="I513" s="5"/>
      <c r="K513" s="3"/>
      <c r="L513" s="3">
        <v>133</v>
      </c>
      <c r="M513" s="5">
        <v>5.44</v>
      </c>
      <c r="N513" s="5"/>
      <c r="O513" s="5"/>
      <c r="P513" s="8">
        <v>41192</v>
      </c>
      <c r="Q513" s="6">
        <v>23</v>
      </c>
      <c r="R513" s="5">
        <v>3.36</v>
      </c>
      <c r="S513" s="6">
        <v>9</v>
      </c>
      <c r="T513" s="3"/>
    </row>
    <row r="514" spans="1:20" s="4" customFormat="1" ht="15" customHeight="1" x14ac:dyDescent="0.2">
      <c r="A514" s="4">
        <v>2010</v>
      </c>
      <c r="B514" s="4" t="s">
        <v>125</v>
      </c>
      <c r="C514" s="4" t="s">
        <v>135</v>
      </c>
      <c r="E514" s="4" t="s">
        <v>73</v>
      </c>
      <c r="I514" s="5"/>
      <c r="K514" s="3"/>
      <c r="L514" s="3">
        <v>175</v>
      </c>
      <c r="M514" s="5">
        <v>4.0999999999999996</v>
      </c>
      <c r="N514" s="5"/>
      <c r="O514" s="5"/>
      <c r="P514" s="8">
        <v>40464</v>
      </c>
      <c r="Q514" s="6">
        <v>24</v>
      </c>
      <c r="R514" s="5">
        <v>3.37</v>
      </c>
      <c r="S514" s="6">
        <v>9.5</v>
      </c>
      <c r="T514" s="3"/>
    </row>
    <row r="515" spans="1:20" s="4" customFormat="1" ht="15" customHeight="1" x14ac:dyDescent="0.2">
      <c r="A515" s="4">
        <v>2011</v>
      </c>
      <c r="B515" s="4" t="s">
        <v>125</v>
      </c>
      <c r="C515" s="4" t="s">
        <v>135</v>
      </c>
      <c r="E515" s="4" t="s">
        <v>73</v>
      </c>
      <c r="I515" s="5"/>
      <c r="K515" s="3"/>
      <c r="L515" s="3">
        <v>145</v>
      </c>
      <c r="M515" s="5">
        <v>6.26</v>
      </c>
      <c r="N515" s="5"/>
      <c r="O515" s="5"/>
      <c r="P515" s="8">
        <v>40834</v>
      </c>
      <c r="Q515" s="6">
        <v>22.2</v>
      </c>
      <c r="R515" s="5">
        <v>3.32</v>
      </c>
      <c r="S515" s="6">
        <v>7.05</v>
      </c>
      <c r="T515" s="3"/>
    </row>
    <row r="516" spans="1:20" s="4" customFormat="1" ht="15" customHeight="1" x14ac:dyDescent="0.2">
      <c r="A516" s="4">
        <v>2012</v>
      </c>
      <c r="B516" s="4" t="s">
        <v>125</v>
      </c>
      <c r="C516" s="4" t="s">
        <v>135</v>
      </c>
      <c r="E516" s="4" t="s">
        <v>73</v>
      </c>
      <c r="I516" s="5"/>
      <c r="K516" s="3"/>
      <c r="L516" s="3"/>
      <c r="M516" s="5">
        <v>6.36</v>
      </c>
      <c r="N516" s="5"/>
      <c r="O516" s="5"/>
      <c r="P516" s="8">
        <v>41189</v>
      </c>
      <c r="Q516" s="6">
        <v>22.4</v>
      </c>
      <c r="R516" s="5">
        <v>3.34</v>
      </c>
      <c r="S516" s="6">
        <v>9.07</v>
      </c>
      <c r="T516" s="3"/>
    </row>
    <row r="517" spans="1:20" s="4" customFormat="1" ht="15" customHeight="1" x14ac:dyDescent="0.2">
      <c r="A517" s="4">
        <v>2006</v>
      </c>
      <c r="B517" s="4" t="s">
        <v>119</v>
      </c>
      <c r="C517" s="4" t="s">
        <v>134</v>
      </c>
      <c r="E517" s="4" t="s">
        <v>72</v>
      </c>
      <c r="G517" s="1"/>
      <c r="H517" s="1"/>
      <c r="I517" s="5">
        <v>4</v>
      </c>
      <c r="K517" s="3"/>
      <c r="L517" s="3">
        <v>175</v>
      </c>
      <c r="M517" s="5">
        <v>22.2</v>
      </c>
      <c r="N517" s="5">
        <f t="shared" ref="N517:N523" si="40">SUM(M517/I517)</f>
        <v>5.55</v>
      </c>
      <c r="O517" s="5"/>
      <c r="P517" s="8">
        <v>39007</v>
      </c>
      <c r="Q517" s="6">
        <v>23.2</v>
      </c>
      <c r="R517" s="5">
        <v>3.5</v>
      </c>
      <c r="S517" s="6">
        <v>6.7</v>
      </c>
      <c r="T517" s="3"/>
    </row>
    <row r="518" spans="1:20" s="4" customFormat="1" ht="15" customHeight="1" x14ac:dyDescent="0.2">
      <c r="A518" s="4">
        <v>2007</v>
      </c>
      <c r="B518" s="4" t="s">
        <v>119</v>
      </c>
      <c r="C518" s="4" t="s">
        <v>134</v>
      </c>
      <c r="E518" s="4" t="s">
        <v>72</v>
      </c>
      <c r="G518" s="1"/>
      <c r="H518" s="1"/>
      <c r="I518" s="5">
        <v>4</v>
      </c>
      <c r="K518" s="3"/>
      <c r="L518" s="3">
        <v>174</v>
      </c>
      <c r="M518" s="5">
        <v>18.8</v>
      </c>
      <c r="N518" s="5">
        <f t="shared" si="40"/>
        <v>4.7</v>
      </c>
      <c r="O518" s="5"/>
      <c r="P518" s="8">
        <v>39370</v>
      </c>
      <c r="Q518" s="6">
        <v>22.8</v>
      </c>
      <c r="R518" s="5">
        <v>3.24</v>
      </c>
      <c r="S518" s="6">
        <v>9</v>
      </c>
      <c r="T518" s="3"/>
    </row>
    <row r="519" spans="1:20" s="4" customFormat="1" ht="15" customHeight="1" x14ac:dyDescent="0.2">
      <c r="A519" s="4">
        <v>2008</v>
      </c>
      <c r="B519" s="4" t="s">
        <v>119</v>
      </c>
      <c r="C519" s="4" t="s">
        <v>134</v>
      </c>
      <c r="E519" s="4" t="s">
        <v>72</v>
      </c>
      <c r="G519" s="1"/>
      <c r="H519" s="1"/>
      <c r="I519" s="5">
        <v>4</v>
      </c>
      <c r="K519" s="3"/>
      <c r="L519" s="3">
        <v>185</v>
      </c>
      <c r="M519" s="5">
        <v>22.7</v>
      </c>
      <c r="N519" s="5">
        <f t="shared" si="40"/>
        <v>5.6749999999999998</v>
      </c>
      <c r="O519" s="5"/>
      <c r="P519" s="8">
        <v>39741</v>
      </c>
      <c r="Q519" s="6">
        <v>19.2</v>
      </c>
      <c r="R519" s="5">
        <v>3.42</v>
      </c>
      <c r="S519" s="6">
        <v>9.68</v>
      </c>
      <c r="T519" s="3"/>
    </row>
    <row r="520" spans="1:20" s="4" customFormat="1" ht="15" customHeight="1" x14ac:dyDescent="0.2">
      <c r="A520" s="4">
        <v>2009</v>
      </c>
      <c r="B520" s="4" t="s">
        <v>119</v>
      </c>
      <c r="C520" s="4" t="s">
        <v>134</v>
      </c>
      <c r="E520" s="4" t="s">
        <v>72</v>
      </c>
      <c r="G520" s="1"/>
      <c r="H520" s="1"/>
      <c r="I520" s="5">
        <v>4</v>
      </c>
      <c r="K520" s="3"/>
      <c r="L520" s="3">
        <v>215</v>
      </c>
      <c r="M520" s="5">
        <v>12.5</v>
      </c>
      <c r="N520" s="5">
        <f t="shared" si="40"/>
        <v>3.125</v>
      </c>
      <c r="O520" s="5"/>
      <c r="P520" s="8">
        <v>40094</v>
      </c>
      <c r="Q520" s="6">
        <v>25.8</v>
      </c>
      <c r="R520" s="5">
        <v>3.72</v>
      </c>
      <c r="S520" s="6">
        <v>5.4</v>
      </c>
      <c r="T520" s="3"/>
    </row>
    <row r="521" spans="1:20" s="4" customFormat="1" ht="15" customHeight="1" x14ac:dyDescent="0.2">
      <c r="A521" s="4">
        <v>2010</v>
      </c>
      <c r="B521" s="4" t="s">
        <v>119</v>
      </c>
      <c r="C521" s="4" t="s">
        <v>134</v>
      </c>
      <c r="E521" s="4" t="s">
        <v>72</v>
      </c>
      <c r="G521" s="1"/>
      <c r="H521" s="1"/>
      <c r="I521" s="5">
        <v>4</v>
      </c>
      <c r="K521" s="3"/>
      <c r="L521" s="3">
        <v>150</v>
      </c>
      <c r="M521" s="5">
        <v>10.199999999999999</v>
      </c>
      <c r="N521" s="5">
        <f t="shared" si="40"/>
        <v>2.5499999999999998</v>
      </c>
      <c r="O521" s="5"/>
      <c r="P521" s="8">
        <v>40468</v>
      </c>
      <c r="Q521" s="6">
        <v>25</v>
      </c>
      <c r="R521" s="5">
        <v>3.36</v>
      </c>
      <c r="S521" s="6">
        <v>10</v>
      </c>
      <c r="T521" s="3"/>
    </row>
    <row r="522" spans="1:20" s="4" customFormat="1" ht="15" customHeight="1" x14ac:dyDescent="0.2">
      <c r="A522" s="4">
        <v>2011</v>
      </c>
      <c r="B522" s="4" t="s">
        <v>119</v>
      </c>
      <c r="C522" s="4" t="s">
        <v>134</v>
      </c>
      <c r="E522" s="4" t="s">
        <v>72</v>
      </c>
      <c r="G522" s="1"/>
      <c r="H522" s="1"/>
      <c r="I522" s="5">
        <v>4</v>
      </c>
      <c r="K522" s="3"/>
      <c r="L522" s="3">
        <v>160</v>
      </c>
      <c r="M522" s="5">
        <v>13.71</v>
      </c>
      <c r="N522" s="5">
        <f t="shared" si="40"/>
        <v>3.4275000000000002</v>
      </c>
      <c r="O522" s="5"/>
      <c r="P522" s="8">
        <v>40843</v>
      </c>
      <c r="Q522" s="6">
        <v>23.2</v>
      </c>
      <c r="R522" s="5">
        <v>3.52</v>
      </c>
      <c r="S522" s="6">
        <v>8.1999999999999993</v>
      </c>
      <c r="T522" s="3"/>
    </row>
    <row r="523" spans="1:20" s="4" customFormat="1" ht="15" customHeight="1" x14ac:dyDescent="0.2">
      <c r="A523" s="4">
        <v>2012</v>
      </c>
      <c r="B523" s="4" t="s">
        <v>119</v>
      </c>
      <c r="C523" s="4" t="s">
        <v>134</v>
      </c>
      <c r="E523" s="4" t="s">
        <v>72</v>
      </c>
      <c r="G523" s="1"/>
      <c r="H523" s="1"/>
      <c r="I523" s="5">
        <v>4</v>
      </c>
      <c r="K523" s="3"/>
      <c r="L523" s="3">
        <v>170</v>
      </c>
      <c r="M523" s="5">
        <v>17.29</v>
      </c>
      <c r="N523" s="5">
        <f t="shared" si="40"/>
        <v>4.3224999999999998</v>
      </c>
      <c r="O523" s="5"/>
      <c r="P523" s="8">
        <v>41195</v>
      </c>
      <c r="Q523" s="6">
        <f>(22.8+22.4+22.2)/3</f>
        <v>22.466666666666669</v>
      </c>
      <c r="R523" s="5">
        <f>(3.38+3.41+3.48)/3</f>
        <v>3.4233333333333333</v>
      </c>
      <c r="S523" s="6">
        <f>(8.7+8.59+8.06)/3</f>
        <v>8.4500000000000011</v>
      </c>
      <c r="T523" s="3"/>
    </row>
    <row r="524" spans="1:20" s="4" customFormat="1" ht="15" customHeight="1" x14ac:dyDescent="0.2">
      <c r="A524" s="4">
        <v>2008</v>
      </c>
      <c r="B524" s="4" t="s">
        <v>120</v>
      </c>
      <c r="C524" s="4" t="s">
        <v>134</v>
      </c>
      <c r="E524" s="4" t="s">
        <v>43</v>
      </c>
      <c r="G524" s="1"/>
      <c r="H524" s="1"/>
      <c r="I524" s="5">
        <v>4</v>
      </c>
      <c r="K524" s="3"/>
      <c r="L524" s="3"/>
      <c r="M524" s="5">
        <v>16.05</v>
      </c>
      <c r="N524" s="5">
        <f>(M524/I524)</f>
        <v>4.0125000000000002</v>
      </c>
      <c r="O524" s="5"/>
      <c r="P524" s="8">
        <v>39741</v>
      </c>
      <c r="Q524" s="6">
        <v>22.2</v>
      </c>
      <c r="R524" s="5">
        <v>3.37</v>
      </c>
      <c r="S524" s="6">
        <v>9</v>
      </c>
      <c r="T524" s="3"/>
    </row>
    <row r="525" spans="1:20" s="4" customFormat="1" ht="15" customHeight="1" x14ac:dyDescent="0.2">
      <c r="A525" s="4">
        <v>2009</v>
      </c>
      <c r="B525" s="4" t="s">
        <v>120</v>
      </c>
      <c r="C525" s="4" t="s">
        <v>134</v>
      </c>
      <c r="E525" s="4" t="s">
        <v>43</v>
      </c>
      <c r="G525" s="1"/>
      <c r="H525" s="1"/>
      <c r="I525" s="5">
        <v>4</v>
      </c>
      <c r="K525" s="3"/>
      <c r="L525" s="3">
        <v>245</v>
      </c>
      <c r="M525" s="5">
        <v>10.6</v>
      </c>
      <c r="N525" s="5">
        <f>(M525/I525)</f>
        <v>2.65</v>
      </c>
      <c r="O525" s="5"/>
      <c r="P525" s="8">
        <v>40086</v>
      </c>
      <c r="Q525" s="6">
        <v>23</v>
      </c>
      <c r="R525" s="5">
        <v>3.95</v>
      </c>
      <c r="S525" s="6">
        <v>6.6</v>
      </c>
      <c r="T525" s="3"/>
    </row>
    <row r="526" spans="1:20" s="4" customFormat="1" ht="15" customHeight="1" x14ac:dyDescent="0.2">
      <c r="A526" s="4">
        <v>2010</v>
      </c>
      <c r="B526" s="4" t="s">
        <v>120</v>
      </c>
      <c r="C526" s="4" t="s">
        <v>134</v>
      </c>
      <c r="E526" s="4" t="s">
        <v>43</v>
      </c>
      <c r="G526" s="1"/>
      <c r="H526" s="1"/>
      <c r="I526" s="5">
        <v>4</v>
      </c>
      <c r="K526" s="3"/>
      <c r="L526" s="3">
        <v>165</v>
      </c>
      <c r="M526" s="5">
        <v>9.9</v>
      </c>
      <c r="N526" s="5">
        <f>(M526/I526)</f>
        <v>2.4750000000000001</v>
      </c>
      <c r="O526" s="5"/>
      <c r="P526" s="8">
        <v>40468</v>
      </c>
      <c r="Q526" s="6">
        <v>22.8</v>
      </c>
      <c r="R526" s="5">
        <v>3.55</v>
      </c>
      <c r="S526" s="6">
        <v>8.1</v>
      </c>
      <c r="T526" s="3"/>
    </row>
    <row r="527" spans="1:20" s="4" customFormat="1" ht="15" customHeight="1" x14ac:dyDescent="0.2">
      <c r="A527" s="4">
        <v>2011</v>
      </c>
      <c r="B527" s="4" t="s">
        <v>120</v>
      </c>
      <c r="C527" s="4" t="s">
        <v>134</v>
      </c>
      <c r="E527" s="4" t="s">
        <v>43</v>
      </c>
      <c r="G527" s="1"/>
      <c r="H527" s="1"/>
      <c r="I527" s="5">
        <v>4</v>
      </c>
      <c r="K527" s="3"/>
      <c r="L527" s="3">
        <v>170</v>
      </c>
      <c r="M527" s="5">
        <v>12.81</v>
      </c>
      <c r="N527" s="5">
        <f>(M527/I527)</f>
        <v>3.2025000000000001</v>
      </c>
      <c r="O527" s="5"/>
      <c r="P527" s="8">
        <v>40841</v>
      </c>
      <c r="Q527" s="6">
        <v>21.8</v>
      </c>
      <c r="R527" s="5">
        <v>3.5</v>
      </c>
      <c r="S527" s="6">
        <v>8.4</v>
      </c>
      <c r="T527" s="3"/>
    </row>
    <row r="528" spans="1:20" s="4" customFormat="1" ht="15" customHeight="1" x14ac:dyDescent="0.2">
      <c r="A528" s="4">
        <v>2012</v>
      </c>
      <c r="B528" s="4" t="s">
        <v>120</v>
      </c>
      <c r="C528" s="4" t="s">
        <v>134</v>
      </c>
      <c r="E528" s="4" t="s">
        <v>43</v>
      </c>
      <c r="G528" s="1"/>
      <c r="H528" s="1"/>
      <c r="I528" s="5">
        <v>4</v>
      </c>
      <c r="K528" s="3"/>
      <c r="L528" s="3"/>
      <c r="M528" s="5">
        <v>11.41</v>
      </c>
      <c r="N528" s="5">
        <f>(M528/I528)</f>
        <v>2.8525</v>
      </c>
      <c r="O528" s="5"/>
      <c r="P528" s="8">
        <v>41194</v>
      </c>
      <c r="Q528" s="6">
        <v>23.4</v>
      </c>
      <c r="R528" s="5">
        <v>3.5</v>
      </c>
      <c r="S528" s="6">
        <v>8.1</v>
      </c>
      <c r="T528" s="3"/>
    </row>
    <row r="529" spans="1:20" s="4" customFormat="1" ht="15" customHeight="1" x14ac:dyDescent="0.2">
      <c r="A529" s="4">
        <v>2012</v>
      </c>
      <c r="B529" s="4" t="s">
        <v>131</v>
      </c>
      <c r="C529" s="4" t="s">
        <v>134</v>
      </c>
      <c r="E529" s="4" t="s">
        <v>43</v>
      </c>
      <c r="I529" s="5"/>
      <c r="K529" s="3"/>
      <c r="L529" s="3">
        <v>160</v>
      </c>
      <c r="M529" s="5">
        <v>3.17</v>
      </c>
      <c r="N529" s="5"/>
      <c r="O529" s="5"/>
      <c r="P529" s="8">
        <v>41195</v>
      </c>
      <c r="Q529" s="6">
        <v>22.4</v>
      </c>
      <c r="R529" s="5">
        <v>3.36</v>
      </c>
      <c r="S529" s="6">
        <v>9.15</v>
      </c>
      <c r="T529" s="3"/>
    </row>
    <row r="530" spans="1:20" s="4" customFormat="1" ht="15" customHeight="1" x14ac:dyDescent="0.2">
      <c r="A530" s="4">
        <v>2010</v>
      </c>
      <c r="B530" s="4" t="s">
        <v>125</v>
      </c>
      <c r="C530" s="4" t="s">
        <v>135</v>
      </c>
      <c r="E530" s="4" t="s">
        <v>43</v>
      </c>
      <c r="I530" s="5"/>
      <c r="K530" s="3"/>
      <c r="L530" s="3"/>
      <c r="M530" s="5">
        <v>7.4</v>
      </c>
      <c r="N530" s="5"/>
      <c r="O530" s="5"/>
      <c r="P530" s="8">
        <v>40464</v>
      </c>
      <c r="Q530" s="6">
        <v>22</v>
      </c>
      <c r="R530" s="5">
        <v>3.13</v>
      </c>
      <c r="S530" s="6">
        <v>13.4</v>
      </c>
      <c r="T530" s="3"/>
    </row>
    <row r="531" spans="1:20" s="4" customFormat="1" ht="15" customHeight="1" x14ac:dyDescent="0.2">
      <c r="A531" s="4">
        <v>2011</v>
      </c>
      <c r="B531" s="4" t="s">
        <v>125</v>
      </c>
      <c r="C531" s="4" t="s">
        <v>135</v>
      </c>
      <c r="E531" s="4" t="s">
        <v>43</v>
      </c>
      <c r="I531" s="5"/>
      <c r="K531" s="3"/>
      <c r="L531" s="3">
        <v>163</v>
      </c>
      <c r="M531" s="5">
        <v>6.48</v>
      </c>
      <c r="N531" s="5"/>
      <c r="O531" s="5"/>
      <c r="P531" s="8"/>
      <c r="Q531" s="6">
        <v>23.4</v>
      </c>
      <c r="R531" s="5">
        <v>3.49</v>
      </c>
      <c r="S531" s="6">
        <v>6.5</v>
      </c>
      <c r="T531" s="3"/>
    </row>
    <row r="532" spans="1:20" s="4" customFormat="1" ht="15" customHeight="1" x14ac:dyDescent="0.2">
      <c r="A532" s="4">
        <v>2012</v>
      </c>
      <c r="B532" s="4" t="s">
        <v>125</v>
      </c>
      <c r="C532" s="4" t="s">
        <v>135</v>
      </c>
      <c r="E532" s="4" t="s">
        <v>43</v>
      </c>
      <c r="I532" s="5"/>
      <c r="K532" s="3"/>
      <c r="L532" s="3">
        <v>143</v>
      </c>
      <c r="M532" s="5">
        <v>7.84</v>
      </c>
      <c r="N532" s="5"/>
      <c r="O532" s="5"/>
      <c r="P532" s="8">
        <v>41190</v>
      </c>
      <c r="Q532" s="6">
        <v>23</v>
      </c>
      <c r="R532" s="5">
        <v>3.4</v>
      </c>
      <c r="S532" s="6">
        <v>7.98</v>
      </c>
      <c r="T532" s="3"/>
    </row>
    <row r="533" spans="1:20" s="4" customFormat="1" ht="15" customHeight="1" x14ac:dyDescent="0.2">
      <c r="A533" s="4">
        <v>2006</v>
      </c>
      <c r="B533" s="4" t="s">
        <v>119</v>
      </c>
      <c r="C533" s="4" t="s">
        <v>134</v>
      </c>
      <c r="E533" s="4" t="s">
        <v>43</v>
      </c>
      <c r="G533" s="1"/>
      <c r="H533" s="1"/>
      <c r="I533" s="5">
        <v>4</v>
      </c>
      <c r="K533" s="3"/>
      <c r="L533" s="3">
        <v>172</v>
      </c>
      <c r="M533" s="5">
        <v>26</v>
      </c>
      <c r="N533" s="5">
        <f t="shared" ref="N533:N578" si="41">SUM(M533/I533)</f>
        <v>6.5</v>
      </c>
      <c r="O533" s="5"/>
      <c r="P533" s="8">
        <v>39008</v>
      </c>
      <c r="Q533" s="6">
        <v>23.4</v>
      </c>
      <c r="R533" s="5">
        <v>3.51</v>
      </c>
      <c r="S533" s="6">
        <v>7.8</v>
      </c>
      <c r="T533" s="3"/>
    </row>
    <row r="534" spans="1:20" s="4" customFormat="1" ht="15" customHeight="1" x14ac:dyDescent="0.2">
      <c r="A534" s="4">
        <v>2007</v>
      </c>
      <c r="B534" s="4" t="s">
        <v>119</v>
      </c>
      <c r="C534" s="4" t="s">
        <v>134</v>
      </c>
      <c r="E534" s="4" t="s">
        <v>43</v>
      </c>
      <c r="G534" s="1"/>
      <c r="H534" s="1"/>
      <c r="I534" s="5">
        <v>4</v>
      </c>
      <c r="K534" s="3"/>
      <c r="L534" s="3">
        <v>223</v>
      </c>
      <c r="M534" s="5">
        <v>36.6</v>
      </c>
      <c r="N534" s="5">
        <f t="shared" si="41"/>
        <v>9.15</v>
      </c>
      <c r="O534" s="5"/>
      <c r="P534" s="8">
        <v>39372</v>
      </c>
      <c r="Q534" s="6">
        <v>21.2</v>
      </c>
      <c r="R534" s="5">
        <v>3.24</v>
      </c>
      <c r="S534" s="6">
        <v>9.1999999999999993</v>
      </c>
      <c r="T534" s="3"/>
    </row>
    <row r="535" spans="1:20" s="4" customFormat="1" ht="15" customHeight="1" x14ac:dyDescent="0.2">
      <c r="A535" s="4">
        <v>2008</v>
      </c>
      <c r="B535" s="4" t="s">
        <v>119</v>
      </c>
      <c r="C535" s="4" t="s">
        <v>134</v>
      </c>
      <c r="E535" s="4" t="s">
        <v>43</v>
      </c>
      <c r="G535" s="1"/>
      <c r="H535" s="1"/>
      <c r="I535" s="5">
        <v>4</v>
      </c>
      <c r="K535" s="3"/>
      <c r="L535" s="3">
        <v>173</v>
      </c>
      <c r="M535" s="5">
        <v>24</v>
      </c>
      <c r="N535" s="5">
        <f t="shared" si="41"/>
        <v>6</v>
      </c>
      <c r="O535" s="5"/>
      <c r="P535" s="8">
        <v>39736</v>
      </c>
      <c r="Q535" s="6">
        <v>22.2</v>
      </c>
      <c r="R535" s="5">
        <v>3.36</v>
      </c>
      <c r="S535" s="6">
        <v>11</v>
      </c>
      <c r="T535" s="3"/>
    </row>
    <row r="536" spans="1:20" s="4" customFormat="1" ht="15" customHeight="1" x14ac:dyDescent="0.2">
      <c r="A536" s="4">
        <v>2009</v>
      </c>
      <c r="B536" s="4" t="s">
        <v>119</v>
      </c>
      <c r="C536" s="4" t="s">
        <v>134</v>
      </c>
      <c r="E536" s="4" t="s">
        <v>43</v>
      </c>
      <c r="G536" s="1"/>
      <c r="H536" s="1"/>
      <c r="I536" s="5">
        <v>4</v>
      </c>
      <c r="K536" s="3"/>
      <c r="L536" s="3">
        <v>250</v>
      </c>
      <c r="M536" s="5">
        <v>20.5</v>
      </c>
      <c r="N536" s="5">
        <f t="shared" si="41"/>
        <v>5.125</v>
      </c>
      <c r="O536" s="5"/>
      <c r="P536" s="8">
        <v>40097</v>
      </c>
      <c r="Q536" s="6">
        <v>25</v>
      </c>
      <c r="R536" s="5">
        <v>3.69</v>
      </c>
      <c r="S536" s="6">
        <v>6.1</v>
      </c>
      <c r="T536" s="3"/>
    </row>
    <row r="537" spans="1:20" s="4" customFormat="1" ht="15" customHeight="1" x14ac:dyDescent="0.2">
      <c r="A537" s="4">
        <v>2010</v>
      </c>
      <c r="B537" s="4" t="s">
        <v>119</v>
      </c>
      <c r="C537" s="4" t="s">
        <v>134</v>
      </c>
      <c r="E537" s="4" t="s">
        <v>43</v>
      </c>
      <c r="G537" s="1"/>
      <c r="H537" s="1"/>
      <c r="I537" s="5">
        <v>4</v>
      </c>
      <c r="K537" s="3"/>
      <c r="L537" s="3">
        <v>274</v>
      </c>
      <c r="M537" s="5">
        <v>17.899999999999999</v>
      </c>
      <c r="N537" s="5">
        <f t="shared" si="41"/>
        <v>4.4749999999999996</v>
      </c>
      <c r="O537" s="5"/>
      <c r="P537" s="8">
        <v>40468</v>
      </c>
      <c r="Q537" s="6">
        <v>23.2</v>
      </c>
      <c r="R537" s="5">
        <v>3.23</v>
      </c>
      <c r="S537" s="6">
        <v>12.2</v>
      </c>
      <c r="T537" s="3"/>
    </row>
    <row r="538" spans="1:20" s="4" customFormat="1" ht="15" customHeight="1" x14ac:dyDescent="0.2">
      <c r="A538" s="4">
        <v>2011</v>
      </c>
      <c r="B538" s="4" t="s">
        <v>119</v>
      </c>
      <c r="C538" s="4" t="s">
        <v>134</v>
      </c>
      <c r="E538" s="4" t="s">
        <v>43</v>
      </c>
      <c r="G538" s="1"/>
      <c r="H538" s="1"/>
      <c r="I538" s="5">
        <v>4</v>
      </c>
      <c r="K538" s="3"/>
      <c r="L538" s="3">
        <v>205</v>
      </c>
      <c r="M538" s="5">
        <v>18.170000000000002</v>
      </c>
      <c r="N538" s="5">
        <f t="shared" si="41"/>
        <v>4.5425000000000004</v>
      </c>
      <c r="O538" s="5"/>
      <c r="P538" s="8">
        <v>40842</v>
      </c>
      <c r="Q538" s="6">
        <v>21.4</v>
      </c>
      <c r="R538" s="5">
        <v>3.46</v>
      </c>
      <c r="S538" s="6">
        <v>8.6</v>
      </c>
      <c r="T538" s="3"/>
    </row>
    <row r="539" spans="1:20" s="4" customFormat="1" ht="15" customHeight="1" x14ac:dyDescent="0.2">
      <c r="A539" s="4">
        <v>2012</v>
      </c>
      <c r="B539" s="4" t="s">
        <v>119</v>
      </c>
      <c r="C539" s="4" t="s">
        <v>134</v>
      </c>
      <c r="E539" s="4" t="s">
        <v>43</v>
      </c>
      <c r="G539" s="1"/>
      <c r="H539" s="1"/>
      <c r="I539" s="5">
        <v>4</v>
      </c>
      <c r="K539" s="3"/>
      <c r="L539" s="3">
        <v>205</v>
      </c>
      <c r="M539" s="5">
        <f>20.68+8.55</f>
        <v>29.23</v>
      </c>
      <c r="N539" s="5">
        <f t="shared" si="41"/>
        <v>7.3075000000000001</v>
      </c>
      <c r="O539" s="5"/>
      <c r="P539" s="8">
        <v>41195</v>
      </c>
      <c r="Q539" s="6">
        <f>(21.4+21.8)/2</f>
        <v>21.6</v>
      </c>
      <c r="R539" s="5">
        <f>(3.43+3.4)/2</f>
        <v>3.415</v>
      </c>
      <c r="S539" s="6">
        <f>(9+10.4)/2</f>
        <v>9.6999999999999993</v>
      </c>
      <c r="T539" s="3"/>
    </row>
    <row r="540" spans="1:20" s="4" customFormat="1" ht="15" customHeight="1" x14ac:dyDescent="0.2">
      <c r="A540" s="4">
        <v>2000</v>
      </c>
      <c r="B540" s="4" t="s">
        <v>97</v>
      </c>
      <c r="C540" s="4">
        <v>1</v>
      </c>
      <c r="D540" s="4">
        <v>4</v>
      </c>
      <c r="E540" s="4" t="s">
        <v>43</v>
      </c>
      <c r="F540" s="4">
        <v>115</v>
      </c>
      <c r="G540" s="4">
        <v>1998</v>
      </c>
      <c r="H540" s="4" t="s">
        <v>67</v>
      </c>
      <c r="I540" s="5">
        <v>2.65</v>
      </c>
      <c r="J540" s="4">
        <v>3200</v>
      </c>
      <c r="K540" s="3">
        <f t="shared" ref="K540:K547" si="42">SUM(J540/I540)</f>
        <v>1207.5471698113208</v>
      </c>
      <c r="L540" s="3"/>
      <c r="M540" s="5">
        <v>12.007</v>
      </c>
      <c r="N540" s="5">
        <f t="shared" si="41"/>
        <v>4.530943396226415</v>
      </c>
      <c r="O540" s="5">
        <f t="shared" ref="O540:O571" si="43">SUM(M540*2000)/J540</f>
        <v>7.5043749999999996</v>
      </c>
      <c r="P540" s="8">
        <v>37196</v>
      </c>
      <c r="Q540" s="6">
        <v>19.2</v>
      </c>
      <c r="R540" s="5">
        <v>3.04</v>
      </c>
      <c r="S540" s="6">
        <v>11.4</v>
      </c>
      <c r="T540" s="3"/>
    </row>
    <row r="541" spans="1:20" s="4" customFormat="1" ht="15" customHeight="1" x14ac:dyDescent="0.2">
      <c r="A541" s="4">
        <v>2001</v>
      </c>
      <c r="B541" s="4" t="s">
        <v>97</v>
      </c>
      <c r="C541" s="4">
        <v>1</v>
      </c>
      <c r="D541" s="4">
        <v>4</v>
      </c>
      <c r="E541" s="4" t="s">
        <v>43</v>
      </c>
      <c r="F541" s="4">
        <v>115</v>
      </c>
      <c r="G541" s="4">
        <v>1998</v>
      </c>
      <c r="H541" s="4" t="s">
        <v>67</v>
      </c>
      <c r="I541" s="5">
        <v>2.65</v>
      </c>
      <c r="J541" s="4">
        <v>3200</v>
      </c>
      <c r="K541" s="3">
        <f t="shared" si="42"/>
        <v>1207.5471698113208</v>
      </c>
      <c r="L541" s="3">
        <v>312</v>
      </c>
      <c r="M541" s="5">
        <v>8.49</v>
      </c>
      <c r="N541" s="5">
        <f t="shared" si="41"/>
        <v>3.2037735849056608</v>
      </c>
      <c r="O541" s="5">
        <f t="shared" si="43"/>
        <v>5.3062500000000004</v>
      </c>
      <c r="P541" s="8">
        <v>37193</v>
      </c>
      <c r="Q541" s="6">
        <v>22.4</v>
      </c>
      <c r="R541" s="5">
        <v>3.03</v>
      </c>
      <c r="S541" s="6">
        <v>12.6</v>
      </c>
      <c r="T541" s="3"/>
    </row>
    <row r="542" spans="1:20" s="4" customFormat="1" ht="15" customHeight="1" x14ac:dyDescent="0.2">
      <c r="A542" s="4">
        <v>2002</v>
      </c>
      <c r="B542" s="4" t="s">
        <v>97</v>
      </c>
      <c r="C542" s="4">
        <v>1</v>
      </c>
      <c r="D542" s="4">
        <v>4</v>
      </c>
      <c r="E542" s="4" t="s">
        <v>43</v>
      </c>
      <c r="F542" s="4">
        <v>115</v>
      </c>
      <c r="G542" s="4">
        <v>1998</v>
      </c>
      <c r="H542" s="4" t="s">
        <v>67</v>
      </c>
      <c r="I542" s="5">
        <v>2.65</v>
      </c>
      <c r="J542" s="4">
        <v>3200</v>
      </c>
      <c r="K542" s="3">
        <f t="shared" si="42"/>
        <v>1207.5471698113208</v>
      </c>
      <c r="L542" s="3">
        <v>248</v>
      </c>
      <c r="M542" s="5">
        <v>7</v>
      </c>
      <c r="N542" s="5">
        <f t="shared" si="41"/>
        <v>2.6415094339622645</v>
      </c>
      <c r="O542" s="5">
        <f t="shared" si="43"/>
        <v>4.375</v>
      </c>
      <c r="P542" s="8">
        <v>37545</v>
      </c>
      <c r="Q542" s="6">
        <v>23.6</v>
      </c>
      <c r="R542" s="5">
        <v>3.33</v>
      </c>
      <c r="S542" s="6">
        <v>9.8000000000000007</v>
      </c>
      <c r="T542" s="3"/>
    </row>
    <row r="543" spans="1:20" s="4" customFormat="1" ht="15" customHeight="1" x14ac:dyDescent="0.2">
      <c r="A543" s="4">
        <v>2003</v>
      </c>
      <c r="B543" s="4" t="s">
        <v>97</v>
      </c>
      <c r="C543" s="4">
        <v>1</v>
      </c>
      <c r="D543" s="4">
        <v>4</v>
      </c>
      <c r="E543" s="4" t="s">
        <v>43</v>
      </c>
      <c r="F543" s="4">
        <v>115</v>
      </c>
      <c r="G543" s="4">
        <v>1998</v>
      </c>
      <c r="H543" s="4" t="s">
        <v>67</v>
      </c>
      <c r="I543" s="5">
        <v>2.65</v>
      </c>
      <c r="J543" s="4">
        <v>3200</v>
      </c>
      <c r="K543" s="3">
        <f t="shared" si="42"/>
        <v>1207.5471698113208</v>
      </c>
      <c r="L543" s="3">
        <v>248</v>
      </c>
      <c r="M543" s="5">
        <v>10.4</v>
      </c>
      <c r="N543" s="5">
        <f t="shared" si="41"/>
        <v>3.9245283018867929</v>
      </c>
      <c r="O543" s="5">
        <f t="shared" si="43"/>
        <v>6.5</v>
      </c>
      <c r="P543" s="8">
        <v>37916</v>
      </c>
      <c r="Q543" s="6">
        <v>21</v>
      </c>
      <c r="R543" s="5">
        <v>3.37</v>
      </c>
      <c r="S543" s="6">
        <v>8.1</v>
      </c>
      <c r="T543" s="3"/>
    </row>
    <row r="544" spans="1:20" s="4" customFormat="1" ht="15" customHeight="1" x14ac:dyDescent="0.2">
      <c r="A544" s="4">
        <v>2004</v>
      </c>
      <c r="B544" s="4" t="s">
        <v>97</v>
      </c>
      <c r="C544" s="4">
        <v>1</v>
      </c>
      <c r="D544" s="4">
        <v>4</v>
      </c>
      <c r="E544" s="4" t="s">
        <v>43</v>
      </c>
      <c r="F544" s="4">
        <v>115</v>
      </c>
      <c r="G544" s="4">
        <v>1998</v>
      </c>
      <c r="H544" s="4" t="s">
        <v>67</v>
      </c>
      <c r="I544" s="5">
        <v>2.65</v>
      </c>
      <c r="J544" s="4">
        <v>3200</v>
      </c>
      <c r="K544" s="3">
        <f t="shared" si="42"/>
        <v>1207.5471698113208</v>
      </c>
      <c r="L544" s="3">
        <v>160</v>
      </c>
      <c r="M544" s="5">
        <v>6</v>
      </c>
      <c r="N544" s="5">
        <f t="shared" si="41"/>
        <v>2.2641509433962264</v>
      </c>
      <c r="O544" s="5">
        <f t="shared" si="43"/>
        <v>3.75</v>
      </c>
      <c r="P544" s="8">
        <v>38273</v>
      </c>
      <c r="Q544" s="6">
        <v>25.8</v>
      </c>
      <c r="R544" s="5">
        <v>3.26</v>
      </c>
      <c r="S544" s="6">
        <v>9</v>
      </c>
      <c r="T544" s="3"/>
    </row>
    <row r="545" spans="1:20" s="4" customFormat="1" ht="15" customHeight="1" x14ac:dyDescent="0.2">
      <c r="A545" s="4">
        <v>2005</v>
      </c>
      <c r="B545" s="4" t="s">
        <v>97</v>
      </c>
      <c r="C545" s="4">
        <v>1</v>
      </c>
      <c r="D545" s="4">
        <v>4</v>
      </c>
      <c r="E545" s="4" t="s">
        <v>43</v>
      </c>
      <c r="F545" s="4">
        <v>115</v>
      </c>
      <c r="G545" s="4">
        <v>1998</v>
      </c>
      <c r="H545" s="4" t="s">
        <v>67</v>
      </c>
      <c r="I545" s="5">
        <v>2.65</v>
      </c>
      <c r="J545" s="4">
        <v>3200</v>
      </c>
      <c r="K545" s="3">
        <f t="shared" si="42"/>
        <v>1207.5471698113208</v>
      </c>
      <c r="L545" s="3">
        <v>157</v>
      </c>
      <c r="M545" s="5">
        <v>8.1</v>
      </c>
      <c r="N545" s="5">
        <f t="shared" si="41"/>
        <v>3.0566037735849054</v>
      </c>
      <c r="O545" s="5">
        <f t="shared" si="43"/>
        <v>5.0625</v>
      </c>
      <c r="P545" s="8">
        <v>38646</v>
      </c>
      <c r="Q545" s="6">
        <v>24.2</v>
      </c>
      <c r="R545" s="5">
        <v>3.42</v>
      </c>
      <c r="S545" s="6">
        <v>8</v>
      </c>
      <c r="T545" s="3"/>
    </row>
    <row r="546" spans="1:20" s="4" customFormat="1" ht="15" customHeight="1" x14ac:dyDescent="0.2">
      <c r="A546" s="4">
        <v>2006</v>
      </c>
      <c r="B546" s="4" t="s">
        <v>97</v>
      </c>
      <c r="C546" s="4">
        <v>1</v>
      </c>
      <c r="D546" s="4">
        <v>4</v>
      </c>
      <c r="E546" s="4" t="s">
        <v>43</v>
      </c>
      <c r="F546" s="4">
        <v>115</v>
      </c>
      <c r="G546" s="4">
        <v>1998</v>
      </c>
      <c r="H546" s="4" t="s">
        <v>67</v>
      </c>
      <c r="I546" s="5">
        <v>2.65</v>
      </c>
      <c r="J546" s="4">
        <v>3200</v>
      </c>
      <c r="K546" s="3">
        <f t="shared" si="42"/>
        <v>1207.5471698113208</v>
      </c>
      <c r="L546" s="3">
        <v>206</v>
      </c>
      <c r="M546" s="5">
        <v>11.8</v>
      </c>
      <c r="N546" s="5">
        <f t="shared" si="41"/>
        <v>4.4528301886792461</v>
      </c>
      <c r="O546" s="5">
        <f t="shared" si="43"/>
        <v>7.375</v>
      </c>
      <c r="P546" s="8">
        <v>39009</v>
      </c>
      <c r="Q546" s="6">
        <v>23.8</v>
      </c>
      <c r="R546" s="5">
        <v>3.5</v>
      </c>
      <c r="S546" s="6">
        <v>8.3000000000000007</v>
      </c>
      <c r="T546" s="3"/>
    </row>
    <row r="547" spans="1:20" s="4" customFormat="1" ht="15" customHeight="1" x14ac:dyDescent="0.2">
      <c r="A547" s="4">
        <v>2007</v>
      </c>
      <c r="B547" s="4" t="s">
        <v>97</v>
      </c>
      <c r="C547" s="4">
        <v>1</v>
      </c>
      <c r="D547" s="4">
        <v>4</v>
      </c>
      <c r="E547" s="4" t="s">
        <v>43</v>
      </c>
      <c r="F547" s="4">
        <v>115</v>
      </c>
      <c r="G547" s="4">
        <v>1998</v>
      </c>
      <c r="H547" s="4" t="s">
        <v>67</v>
      </c>
      <c r="I547" s="5">
        <v>2.65</v>
      </c>
      <c r="J547" s="4">
        <v>3200</v>
      </c>
      <c r="K547" s="3">
        <f t="shared" si="42"/>
        <v>1207.5471698113208</v>
      </c>
      <c r="L547" s="3">
        <v>215</v>
      </c>
      <c r="M547" s="5">
        <v>12.2</v>
      </c>
      <c r="N547" s="5">
        <f t="shared" si="41"/>
        <v>4.6037735849056602</v>
      </c>
      <c r="O547" s="5">
        <f t="shared" si="43"/>
        <v>7.625</v>
      </c>
      <c r="P547" s="8">
        <v>39377</v>
      </c>
      <c r="Q547" s="6">
        <v>24</v>
      </c>
      <c r="R547" s="5">
        <v>3.36</v>
      </c>
      <c r="S547" s="6">
        <v>10.5</v>
      </c>
      <c r="T547" s="3"/>
    </row>
    <row r="548" spans="1:20" s="4" customFormat="1" ht="15" customHeight="1" x14ac:dyDescent="0.2">
      <c r="A548" s="4">
        <v>2007</v>
      </c>
      <c r="B548" s="4" t="s">
        <v>97</v>
      </c>
      <c r="C548" s="4">
        <v>2</v>
      </c>
      <c r="D548" s="4">
        <v>8</v>
      </c>
      <c r="E548" s="4" t="s">
        <v>43</v>
      </c>
      <c r="F548" s="4">
        <v>828</v>
      </c>
      <c r="G548" s="4">
        <v>2006</v>
      </c>
      <c r="H548" s="4" t="s">
        <v>34</v>
      </c>
      <c r="I548" s="5">
        <v>0.32</v>
      </c>
      <c r="J548" s="4">
        <v>656</v>
      </c>
      <c r="K548" s="3">
        <v>2050</v>
      </c>
      <c r="L548" s="3">
        <v>140</v>
      </c>
      <c r="M548" s="5">
        <v>0.4</v>
      </c>
      <c r="N548" s="5">
        <f t="shared" si="41"/>
        <v>1.25</v>
      </c>
      <c r="O548" s="5">
        <f t="shared" si="43"/>
        <v>1.2195121951219512</v>
      </c>
      <c r="P548" s="8">
        <v>39353</v>
      </c>
      <c r="Q548" s="6">
        <v>24</v>
      </c>
      <c r="R548" s="5">
        <v>3.39</v>
      </c>
      <c r="S548" s="6">
        <v>6</v>
      </c>
      <c r="T548" s="3"/>
    </row>
    <row r="549" spans="1:20" s="4" customFormat="1" ht="15" customHeight="1" x14ac:dyDescent="0.2">
      <c r="A549" s="4">
        <v>2008</v>
      </c>
      <c r="B549" s="4" t="s">
        <v>97</v>
      </c>
      <c r="C549" s="4">
        <v>1</v>
      </c>
      <c r="D549" s="4">
        <v>4</v>
      </c>
      <c r="E549" s="4" t="s">
        <v>43</v>
      </c>
      <c r="F549" s="4">
        <v>115</v>
      </c>
      <c r="G549" s="4">
        <v>1998</v>
      </c>
      <c r="H549" s="4" t="s">
        <v>67</v>
      </c>
      <c r="I549" s="5">
        <v>2.65</v>
      </c>
      <c r="J549" s="4">
        <v>3200</v>
      </c>
      <c r="K549" s="3">
        <f>SUM(J549/I549)</f>
        <v>1207.5471698113208</v>
      </c>
      <c r="L549" s="3">
        <v>235</v>
      </c>
      <c r="M549" s="5">
        <v>12.5</v>
      </c>
      <c r="N549" s="5">
        <f t="shared" si="41"/>
        <v>4.716981132075472</v>
      </c>
      <c r="O549" s="5">
        <f t="shared" si="43"/>
        <v>7.8125</v>
      </c>
      <c r="P549" s="8">
        <v>39741</v>
      </c>
      <c r="Q549" s="6">
        <v>23.8</v>
      </c>
      <c r="R549" s="5">
        <v>3.64</v>
      </c>
      <c r="S549" s="6">
        <v>12.5</v>
      </c>
      <c r="T549" s="3"/>
    </row>
    <row r="550" spans="1:20" s="4" customFormat="1" ht="15" customHeight="1" x14ac:dyDescent="0.2">
      <c r="A550" s="4">
        <v>2008</v>
      </c>
      <c r="B550" s="4" t="s">
        <v>97</v>
      </c>
      <c r="C550" s="4">
        <v>1</v>
      </c>
      <c r="D550" s="4">
        <v>5</v>
      </c>
      <c r="E550" s="4" t="s">
        <v>43</v>
      </c>
      <c r="F550" s="4">
        <v>828</v>
      </c>
      <c r="G550" s="4">
        <v>2006</v>
      </c>
      <c r="H550" s="4" t="s">
        <v>34</v>
      </c>
      <c r="I550" s="5">
        <v>1.04</v>
      </c>
      <c r="J550" s="4">
        <v>1838</v>
      </c>
      <c r="K550" s="3">
        <v>1767</v>
      </c>
      <c r="L550" s="3">
        <v>167</v>
      </c>
      <c r="M550" s="5">
        <v>1.7</v>
      </c>
      <c r="N550" s="5">
        <f t="shared" si="41"/>
        <v>1.6346153846153846</v>
      </c>
      <c r="O550" s="5">
        <f t="shared" si="43"/>
        <v>1.8498367791077257</v>
      </c>
      <c r="P550" s="8">
        <v>39741</v>
      </c>
      <c r="Q550" s="6">
        <v>22.4</v>
      </c>
      <c r="R550" s="5">
        <v>3.28</v>
      </c>
      <c r="S550" s="6">
        <v>9</v>
      </c>
      <c r="T550" s="3"/>
    </row>
    <row r="551" spans="1:20" s="4" customFormat="1" ht="15" customHeight="1" x14ac:dyDescent="0.2">
      <c r="A551" s="4">
        <v>2008</v>
      </c>
      <c r="B551" s="4" t="s">
        <v>97</v>
      </c>
      <c r="C551" s="4">
        <v>2</v>
      </c>
      <c r="D551" s="4">
        <v>5</v>
      </c>
      <c r="E551" s="4" t="s">
        <v>43</v>
      </c>
      <c r="F551" s="4">
        <v>667</v>
      </c>
      <c r="G551" s="4">
        <v>2006</v>
      </c>
      <c r="H551" s="4" t="s">
        <v>34</v>
      </c>
      <c r="I551" s="5">
        <v>1.31</v>
      </c>
      <c r="J551" s="4">
        <v>2461</v>
      </c>
      <c r="K551" s="3">
        <v>1878</v>
      </c>
      <c r="L551" s="3">
        <v>234</v>
      </c>
      <c r="M551" s="5">
        <v>3.1</v>
      </c>
      <c r="N551" s="5">
        <f t="shared" si="41"/>
        <v>2.3664122137404582</v>
      </c>
      <c r="O551" s="5">
        <f t="shared" si="43"/>
        <v>2.5193010971149938</v>
      </c>
      <c r="P551" s="8">
        <v>39741</v>
      </c>
      <c r="Q551" s="6">
        <v>23</v>
      </c>
      <c r="R551" s="5">
        <v>3.11</v>
      </c>
      <c r="S551" s="6">
        <v>10.5</v>
      </c>
      <c r="T551" s="3"/>
    </row>
    <row r="552" spans="1:20" s="4" customFormat="1" ht="15" customHeight="1" x14ac:dyDescent="0.2">
      <c r="A552" s="4">
        <v>2008</v>
      </c>
      <c r="B552" s="4" t="s">
        <v>97</v>
      </c>
      <c r="C552" s="4">
        <v>2</v>
      </c>
      <c r="D552" s="4">
        <v>6</v>
      </c>
      <c r="E552" s="4" t="s">
        <v>43</v>
      </c>
      <c r="F552" s="4">
        <v>777</v>
      </c>
      <c r="G552" s="4">
        <v>2006</v>
      </c>
      <c r="H552" s="4" t="s">
        <v>34</v>
      </c>
      <c r="I552" s="5">
        <v>1.22</v>
      </c>
      <c r="J552" s="4">
        <v>2209</v>
      </c>
      <c r="K552" s="3">
        <v>1820</v>
      </c>
      <c r="L552" s="3">
        <v>200</v>
      </c>
      <c r="M552" s="5">
        <v>1.9</v>
      </c>
      <c r="N552" s="5">
        <f t="shared" si="41"/>
        <v>1.5573770491803278</v>
      </c>
      <c r="O552" s="5">
        <f t="shared" si="43"/>
        <v>1.720235400633771</v>
      </c>
      <c r="P552" s="8">
        <v>39741</v>
      </c>
      <c r="Q552" s="6">
        <v>23</v>
      </c>
      <c r="R552" s="5">
        <v>3.11</v>
      </c>
      <c r="S552" s="6">
        <v>10.5</v>
      </c>
      <c r="T552" s="3"/>
    </row>
    <row r="553" spans="1:20" s="4" customFormat="1" ht="15" customHeight="1" x14ac:dyDescent="0.2">
      <c r="A553" s="4">
        <v>2008</v>
      </c>
      <c r="B553" s="4" t="s">
        <v>97</v>
      </c>
      <c r="C553" s="4">
        <v>2</v>
      </c>
      <c r="D553" s="4">
        <v>7</v>
      </c>
      <c r="E553" s="4" t="s">
        <v>43</v>
      </c>
      <c r="F553" s="4">
        <v>777</v>
      </c>
      <c r="G553" s="4">
        <v>2006</v>
      </c>
      <c r="H553" s="4" t="s">
        <v>34</v>
      </c>
      <c r="I553" s="5">
        <v>0.45</v>
      </c>
      <c r="J553" s="4">
        <v>702</v>
      </c>
      <c r="K553" s="3">
        <v>1560</v>
      </c>
      <c r="L553" s="3">
        <v>160</v>
      </c>
      <c r="M553" s="5">
        <v>1.8</v>
      </c>
      <c r="N553" s="5">
        <f t="shared" si="41"/>
        <v>4</v>
      </c>
      <c r="O553" s="5">
        <f t="shared" si="43"/>
        <v>5.1282051282051286</v>
      </c>
      <c r="P553" s="8">
        <v>39741</v>
      </c>
      <c r="Q553" s="6">
        <v>23</v>
      </c>
      <c r="R553" s="5">
        <v>3.11</v>
      </c>
      <c r="S553" s="6">
        <v>10.5</v>
      </c>
      <c r="T553" s="3"/>
    </row>
    <row r="554" spans="1:20" s="4" customFormat="1" ht="15" customHeight="1" x14ac:dyDescent="0.2">
      <c r="A554" s="4">
        <v>2008</v>
      </c>
      <c r="B554" s="4" t="s">
        <v>97</v>
      </c>
      <c r="C554" s="4">
        <v>2</v>
      </c>
      <c r="D554" s="4">
        <v>8</v>
      </c>
      <c r="E554" s="4" t="s">
        <v>43</v>
      </c>
      <c r="F554" s="4">
        <v>828</v>
      </c>
      <c r="G554" s="4">
        <v>2006</v>
      </c>
      <c r="H554" s="4" t="s">
        <v>34</v>
      </c>
      <c r="I554" s="5">
        <v>0.32</v>
      </c>
      <c r="J554" s="4">
        <v>656</v>
      </c>
      <c r="K554" s="3">
        <v>2050</v>
      </c>
      <c r="L554" s="3">
        <v>167</v>
      </c>
      <c r="M554" s="5">
        <v>0.5</v>
      </c>
      <c r="N554" s="5">
        <f t="shared" si="41"/>
        <v>1.5625</v>
      </c>
      <c r="O554" s="5">
        <f t="shared" si="43"/>
        <v>1.524390243902439</v>
      </c>
      <c r="P554" s="8">
        <v>39741</v>
      </c>
      <c r="Q554" s="6">
        <v>24</v>
      </c>
      <c r="R554" s="5">
        <v>3.61</v>
      </c>
      <c r="S554" s="6">
        <v>12.4</v>
      </c>
      <c r="T554" s="3"/>
    </row>
    <row r="555" spans="1:20" s="4" customFormat="1" ht="15" customHeight="1" x14ac:dyDescent="0.2">
      <c r="A555" s="4">
        <v>2009</v>
      </c>
      <c r="B555" s="4" t="s">
        <v>97</v>
      </c>
      <c r="C555" s="4">
        <v>1</v>
      </c>
      <c r="D555" s="4">
        <v>4</v>
      </c>
      <c r="E555" s="4" t="s">
        <v>43</v>
      </c>
      <c r="F555" s="4">
        <v>115</v>
      </c>
      <c r="G555" s="4">
        <v>1998</v>
      </c>
      <c r="H555" s="4" t="s">
        <v>67</v>
      </c>
      <c r="I555" s="5">
        <v>2.65</v>
      </c>
      <c r="J555" s="4">
        <v>3200</v>
      </c>
      <c r="K555" s="3">
        <f>SUM(J555/I555)</f>
        <v>1207.5471698113208</v>
      </c>
      <c r="L555" s="3">
        <v>260</v>
      </c>
      <c r="M555" s="5">
        <v>11.8</v>
      </c>
      <c r="N555" s="5">
        <f t="shared" si="41"/>
        <v>4.4528301886792461</v>
      </c>
      <c r="O555" s="5">
        <f t="shared" si="43"/>
        <v>7.375</v>
      </c>
      <c r="P555" s="8">
        <v>40091</v>
      </c>
      <c r="Q555" s="6">
        <v>25.8</v>
      </c>
      <c r="R555" s="5">
        <v>3.82</v>
      </c>
      <c r="S555" s="6">
        <v>7</v>
      </c>
      <c r="T555" s="3"/>
    </row>
    <row r="556" spans="1:20" s="4" customFormat="1" ht="15" customHeight="1" x14ac:dyDescent="0.2">
      <c r="A556" s="4">
        <v>2009</v>
      </c>
      <c r="B556" s="4" t="s">
        <v>97</v>
      </c>
      <c r="C556" s="4">
        <v>1</v>
      </c>
      <c r="D556" s="4">
        <v>5</v>
      </c>
      <c r="E556" s="4" t="s">
        <v>43</v>
      </c>
      <c r="F556" s="4">
        <v>828</v>
      </c>
      <c r="G556" s="4">
        <v>2006</v>
      </c>
      <c r="H556" s="4" t="s">
        <v>34</v>
      </c>
      <c r="I556" s="5">
        <v>1.04</v>
      </c>
      <c r="J556" s="4">
        <v>1838</v>
      </c>
      <c r="K556" s="3">
        <v>1767</v>
      </c>
      <c r="L556" s="3">
        <v>173</v>
      </c>
      <c r="M556" s="5">
        <v>2.9</v>
      </c>
      <c r="N556" s="5">
        <f t="shared" si="41"/>
        <v>2.7884615384615383</v>
      </c>
      <c r="O556" s="5">
        <f t="shared" si="43"/>
        <v>3.1556039173014145</v>
      </c>
      <c r="P556" s="8">
        <v>40081</v>
      </c>
      <c r="Q556" s="6">
        <v>26.2</v>
      </c>
      <c r="R556" s="5">
        <v>3.86</v>
      </c>
      <c r="S556" s="6">
        <v>7.7</v>
      </c>
      <c r="T556" s="3"/>
    </row>
    <row r="557" spans="1:20" s="4" customFormat="1" ht="15" customHeight="1" x14ac:dyDescent="0.2">
      <c r="A557" s="4">
        <v>2009</v>
      </c>
      <c r="B557" s="4" t="s">
        <v>97</v>
      </c>
      <c r="C557" s="4">
        <v>2</v>
      </c>
      <c r="D557" s="4">
        <v>5</v>
      </c>
      <c r="E557" s="4" t="s">
        <v>43</v>
      </c>
      <c r="F557" s="4">
        <v>667</v>
      </c>
      <c r="G557" s="4">
        <v>2006</v>
      </c>
      <c r="H557" s="4" t="s">
        <v>34</v>
      </c>
      <c r="I557" s="5">
        <v>1.31</v>
      </c>
      <c r="J557" s="4">
        <v>2461</v>
      </c>
      <c r="K557" s="3">
        <v>1878</v>
      </c>
      <c r="L557" s="3">
        <v>225</v>
      </c>
      <c r="M557" s="5">
        <v>3.7</v>
      </c>
      <c r="N557" s="5">
        <f t="shared" si="41"/>
        <v>2.8244274809160306</v>
      </c>
      <c r="O557" s="5">
        <f t="shared" si="43"/>
        <v>3.0069077610727346</v>
      </c>
      <c r="P557" s="8">
        <v>40081</v>
      </c>
      <c r="Q557" s="6">
        <v>24</v>
      </c>
      <c r="R557" s="5">
        <v>3.8</v>
      </c>
      <c r="S557" s="6">
        <v>6.4</v>
      </c>
      <c r="T557" s="3"/>
    </row>
    <row r="558" spans="1:20" s="4" customFormat="1" ht="15" customHeight="1" x14ac:dyDescent="0.2">
      <c r="A558" s="4">
        <v>2009</v>
      </c>
      <c r="B558" s="4" t="s">
        <v>97</v>
      </c>
      <c r="C558" s="4">
        <v>2</v>
      </c>
      <c r="D558" s="4">
        <v>6</v>
      </c>
      <c r="E558" s="4" t="s">
        <v>43</v>
      </c>
      <c r="F558" s="4">
        <v>777</v>
      </c>
      <c r="G558" s="4">
        <v>2006</v>
      </c>
      <c r="H558" s="4" t="s">
        <v>34</v>
      </c>
      <c r="I558" s="5">
        <v>1.22</v>
      </c>
      <c r="J558" s="4">
        <v>2209</v>
      </c>
      <c r="K558" s="3">
        <v>1820</v>
      </c>
      <c r="L558" s="3">
        <v>213</v>
      </c>
      <c r="M558" s="5">
        <v>2.1</v>
      </c>
      <c r="N558" s="5">
        <f t="shared" si="41"/>
        <v>1.7213114754098362</v>
      </c>
      <c r="O558" s="5">
        <f t="shared" si="43"/>
        <v>1.9013128112267994</v>
      </c>
      <c r="P558" s="8">
        <v>40081</v>
      </c>
      <c r="Q558" s="6">
        <v>24</v>
      </c>
      <c r="R558" s="5">
        <v>3.8</v>
      </c>
      <c r="S558" s="6">
        <v>6.4</v>
      </c>
      <c r="T558" s="3"/>
    </row>
    <row r="559" spans="1:20" s="4" customFormat="1" ht="15" customHeight="1" x14ac:dyDescent="0.2">
      <c r="A559" s="4">
        <v>2009</v>
      </c>
      <c r="B559" s="4" t="s">
        <v>97</v>
      </c>
      <c r="C559" s="4">
        <v>2</v>
      </c>
      <c r="D559" s="4">
        <v>7</v>
      </c>
      <c r="E559" s="4" t="s">
        <v>43</v>
      </c>
      <c r="F559" s="4">
        <v>777</v>
      </c>
      <c r="G559" s="4">
        <v>2006</v>
      </c>
      <c r="H559" s="4" t="s">
        <v>34</v>
      </c>
      <c r="I559" s="5">
        <v>0.45</v>
      </c>
      <c r="J559" s="4">
        <v>702</v>
      </c>
      <c r="K559" s="3">
        <v>1560</v>
      </c>
      <c r="L559" s="3">
        <v>180</v>
      </c>
      <c r="M559" s="5">
        <v>0.6</v>
      </c>
      <c r="N559" s="5">
        <f t="shared" si="41"/>
        <v>1.3333333333333333</v>
      </c>
      <c r="O559" s="5">
        <f t="shared" si="43"/>
        <v>1.7094017094017093</v>
      </c>
      <c r="P559" s="8">
        <v>40081</v>
      </c>
      <c r="Q559" s="6">
        <v>24</v>
      </c>
      <c r="R559" s="5">
        <v>3.8</v>
      </c>
      <c r="S559" s="6">
        <v>6.4</v>
      </c>
      <c r="T559" s="3"/>
    </row>
    <row r="560" spans="1:20" s="4" customFormat="1" ht="15" customHeight="1" x14ac:dyDescent="0.2">
      <c r="A560" s="4">
        <v>2009</v>
      </c>
      <c r="B560" s="4" t="s">
        <v>97</v>
      </c>
      <c r="C560" s="4">
        <v>2</v>
      </c>
      <c r="D560" s="4">
        <v>8</v>
      </c>
      <c r="E560" s="4" t="s">
        <v>43</v>
      </c>
      <c r="F560" s="4">
        <v>828</v>
      </c>
      <c r="G560" s="4">
        <v>2006</v>
      </c>
      <c r="H560" s="4" t="s">
        <v>34</v>
      </c>
      <c r="I560" s="5">
        <v>0.32</v>
      </c>
      <c r="J560" s="4">
        <v>656</v>
      </c>
      <c r="K560" s="3">
        <v>2050</v>
      </c>
      <c r="N560" s="5">
        <f t="shared" si="41"/>
        <v>0</v>
      </c>
      <c r="O560" s="5">
        <f t="shared" si="43"/>
        <v>0</v>
      </c>
      <c r="P560" s="8"/>
      <c r="Q560" s="6"/>
      <c r="R560" s="5"/>
      <c r="S560" s="6"/>
      <c r="T560" s="3"/>
    </row>
    <row r="561" spans="1:20" s="4" customFormat="1" ht="15" customHeight="1" x14ac:dyDescent="0.2">
      <c r="A561" s="4">
        <v>2010</v>
      </c>
      <c r="B561" s="4" t="s">
        <v>97</v>
      </c>
      <c r="C561" s="4">
        <v>1</v>
      </c>
      <c r="D561" s="4">
        <v>4</v>
      </c>
      <c r="E561" s="4" t="s">
        <v>43</v>
      </c>
      <c r="F561" s="4">
        <v>115</v>
      </c>
      <c r="G561" s="4">
        <v>1998</v>
      </c>
      <c r="H561" s="4" t="s">
        <v>67</v>
      </c>
      <c r="I561" s="5">
        <v>2.65</v>
      </c>
      <c r="J561" s="4">
        <v>3200</v>
      </c>
      <c r="K561" s="3">
        <f>SUM(J561/I561)</f>
        <v>1207.5471698113208</v>
      </c>
      <c r="L561" s="3">
        <v>130</v>
      </c>
      <c r="M561" s="5">
        <v>10.5</v>
      </c>
      <c r="N561" s="5">
        <f t="shared" si="41"/>
        <v>3.9622641509433962</v>
      </c>
      <c r="O561" s="5">
        <f t="shared" si="43"/>
        <v>6.5625</v>
      </c>
      <c r="P561" s="8">
        <v>40470</v>
      </c>
      <c r="Q561" s="6">
        <v>25.4</v>
      </c>
      <c r="R561" s="5">
        <v>3.29</v>
      </c>
      <c r="S561" s="6">
        <v>12</v>
      </c>
      <c r="T561" s="3"/>
    </row>
    <row r="562" spans="1:20" s="4" customFormat="1" ht="15" customHeight="1" x14ac:dyDescent="0.2">
      <c r="A562" s="4">
        <v>2010</v>
      </c>
      <c r="B562" s="4" t="s">
        <v>97</v>
      </c>
      <c r="C562" s="4">
        <v>1</v>
      </c>
      <c r="D562" s="4">
        <v>5</v>
      </c>
      <c r="E562" s="4" t="s">
        <v>43</v>
      </c>
      <c r="F562" s="4">
        <v>828</v>
      </c>
      <c r="G562" s="4">
        <v>2006</v>
      </c>
      <c r="H562" s="4" t="s">
        <v>34</v>
      </c>
      <c r="I562" s="5">
        <v>1.04</v>
      </c>
      <c r="J562" s="4">
        <v>1838</v>
      </c>
      <c r="K562" s="3">
        <v>1767</v>
      </c>
      <c r="L562" s="3">
        <v>150</v>
      </c>
      <c r="M562" s="5">
        <v>3.3</v>
      </c>
      <c r="N562" s="5">
        <f t="shared" si="41"/>
        <v>3.1730769230769229</v>
      </c>
      <c r="O562" s="5">
        <f t="shared" si="43"/>
        <v>3.5908596300326443</v>
      </c>
      <c r="P562" s="8">
        <v>40471</v>
      </c>
      <c r="Q562" s="6">
        <v>25.4</v>
      </c>
      <c r="R562" s="5">
        <v>3.22</v>
      </c>
      <c r="S562" s="6">
        <v>11.4</v>
      </c>
      <c r="T562" s="3"/>
    </row>
    <row r="563" spans="1:20" s="4" customFormat="1" ht="15" customHeight="1" x14ac:dyDescent="0.2">
      <c r="A563" s="4">
        <v>2010</v>
      </c>
      <c r="B563" s="4" t="s">
        <v>97</v>
      </c>
      <c r="C563" s="4">
        <v>2</v>
      </c>
      <c r="D563" s="4">
        <v>5</v>
      </c>
      <c r="E563" s="4" t="s">
        <v>43</v>
      </c>
      <c r="F563" s="4">
        <v>667</v>
      </c>
      <c r="G563" s="4">
        <v>2006</v>
      </c>
      <c r="H563" s="4" t="s">
        <v>34</v>
      </c>
      <c r="I563" s="5">
        <v>1.31</v>
      </c>
      <c r="J563" s="4">
        <v>2461</v>
      </c>
      <c r="K563" s="3">
        <v>1878</v>
      </c>
      <c r="L563" s="3">
        <v>175</v>
      </c>
      <c r="M563" s="5">
        <v>3.36</v>
      </c>
      <c r="N563" s="5">
        <f t="shared" si="41"/>
        <v>2.5648854961832059</v>
      </c>
      <c r="O563" s="5">
        <f t="shared" si="43"/>
        <v>2.7305973181633481</v>
      </c>
      <c r="P563" s="8">
        <v>40458</v>
      </c>
      <c r="Q563" s="6">
        <v>24.4</v>
      </c>
      <c r="R563" s="5">
        <v>3.19</v>
      </c>
      <c r="S563" s="6">
        <v>10.199999999999999</v>
      </c>
      <c r="T563" s="3"/>
    </row>
    <row r="564" spans="1:20" s="4" customFormat="1" ht="15" customHeight="1" x14ac:dyDescent="0.2">
      <c r="A564" s="4">
        <v>2010</v>
      </c>
      <c r="B564" s="4" t="s">
        <v>97</v>
      </c>
      <c r="C564" s="4">
        <v>2</v>
      </c>
      <c r="D564" s="4">
        <v>6</v>
      </c>
      <c r="E564" s="4" t="s">
        <v>43</v>
      </c>
      <c r="F564" s="4">
        <v>777</v>
      </c>
      <c r="G564" s="4">
        <v>2006</v>
      </c>
      <c r="H564" s="4" t="s">
        <v>34</v>
      </c>
      <c r="I564" s="5">
        <v>1.22</v>
      </c>
      <c r="J564" s="4">
        <v>2209</v>
      </c>
      <c r="K564" s="3">
        <v>1820</v>
      </c>
      <c r="L564" s="3">
        <v>175</v>
      </c>
      <c r="M564" s="5">
        <v>3.36</v>
      </c>
      <c r="N564" s="5">
        <f t="shared" si="41"/>
        <v>2.7540983606557377</v>
      </c>
      <c r="O564" s="5">
        <f t="shared" si="43"/>
        <v>3.042100497962879</v>
      </c>
      <c r="P564" s="8"/>
      <c r="Q564" s="6"/>
      <c r="R564" s="5"/>
      <c r="S564" s="6"/>
      <c r="T564" s="3"/>
    </row>
    <row r="565" spans="1:20" s="4" customFormat="1" ht="15" customHeight="1" x14ac:dyDescent="0.2">
      <c r="A565" s="4">
        <v>2010</v>
      </c>
      <c r="B565" s="4" t="s">
        <v>97</v>
      </c>
      <c r="C565" s="4">
        <v>2</v>
      </c>
      <c r="D565" s="4">
        <v>7</v>
      </c>
      <c r="E565" s="4" t="s">
        <v>43</v>
      </c>
      <c r="F565" s="4">
        <v>777</v>
      </c>
      <c r="G565" s="4">
        <v>2006</v>
      </c>
      <c r="H565" s="4" t="s">
        <v>34</v>
      </c>
      <c r="I565" s="5">
        <v>0.45</v>
      </c>
      <c r="J565" s="4">
        <v>702</v>
      </c>
      <c r="K565" s="3">
        <v>1560</v>
      </c>
      <c r="L565" s="3">
        <v>175</v>
      </c>
      <c r="M565" s="5">
        <v>3.36</v>
      </c>
      <c r="N565" s="5">
        <f t="shared" si="41"/>
        <v>7.4666666666666659</v>
      </c>
      <c r="O565" s="5">
        <f t="shared" si="43"/>
        <v>9.5726495726495724</v>
      </c>
      <c r="P565" s="8"/>
      <c r="Q565" s="6"/>
      <c r="R565" s="5"/>
      <c r="S565" s="6"/>
      <c r="T565" s="3"/>
    </row>
    <row r="566" spans="1:20" s="4" customFormat="1" ht="15" customHeight="1" x14ac:dyDescent="0.2">
      <c r="A566" s="4">
        <v>2010</v>
      </c>
      <c r="B566" s="4" t="s">
        <v>97</v>
      </c>
      <c r="C566" s="4">
        <v>2</v>
      </c>
      <c r="D566" s="4">
        <v>8</v>
      </c>
      <c r="E566" s="4" t="s">
        <v>43</v>
      </c>
      <c r="F566" s="4">
        <v>828</v>
      </c>
      <c r="G566" s="4">
        <v>2006</v>
      </c>
      <c r="H566" s="4" t="s">
        <v>34</v>
      </c>
      <c r="I566" s="5">
        <v>0.32</v>
      </c>
      <c r="J566" s="4">
        <v>656</v>
      </c>
      <c r="K566" s="3">
        <v>2050</v>
      </c>
      <c r="L566" s="3">
        <v>150</v>
      </c>
      <c r="M566" s="5">
        <v>0.9</v>
      </c>
      <c r="N566" s="5">
        <f t="shared" si="41"/>
        <v>2.8125</v>
      </c>
      <c r="O566" s="5">
        <f t="shared" si="43"/>
        <v>2.7439024390243905</v>
      </c>
      <c r="P566" s="8">
        <v>40458</v>
      </c>
      <c r="Q566" s="6">
        <v>23.4</v>
      </c>
      <c r="R566" s="5">
        <v>3.21</v>
      </c>
      <c r="S566" s="6">
        <v>11</v>
      </c>
      <c r="T566" s="3"/>
    </row>
    <row r="567" spans="1:20" s="4" customFormat="1" ht="15" customHeight="1" x14ac:dyDescent="0.2">
      <c r="A567" s="4">
        <v>2011</v>
      </c>
      <c r="B567" s="4" t="s">
        <v>97</v>
      </c>
      <c r="C567" s="4">
        <v>1</v>
      </c>
      <c r="D567" s="4">
        <v>4</v>
      </c>
      <c r="E567" s="4" t="s">
        <v>43</v>
      </c>
      <c r="F567" s="4">
        <v>115</v>
      </c>
      <c r="G567" s="4">
        <v>1998</v>
      </c>
      <c r="H567" s="4" t="s">
        <v>67</v>
      </c>
      <c r="I567" s="5">
        <v>2.65</v>
      </c>
      <c r="J567" s="4">
        <v>3200</v>
      </c>
      <c r="K567" s="3">
        <v>1208</v>
      </c>
      <c r="L567" s="3">
        <v>215</v>
      </c>
      <c r="M567" s="5">
        <v>8.81</v>
      </c>
      <c r="N567" s="5">
        <f t="shared" si="41"/>
        <v>3.3245283018867928</v>
      </c>
      <c r="O567" s="5">
        <f t="shared" si="43"/>
        <v>5.5062499999999996</v>
      </c>
      <c r="P567" s="8">
        <v>40847</v>
      </c>
      <c r="Q567" s="6">
        <v>24.2</v>
      </c>
      <c r="R567" s="5">
        <v>3.36</v>
      </c>
      <c r="S567" s="6">
        <v>6.8</v>
      </c>
      <c r="T567" s="3"/>
    </row>
    <row r="568" spans="1:20" s="4" customFormat="1" ht="15" customHeight="1" x14ac:dyDescent="0.2">
      <c r="A568" s="4">
        <v>2011</v>
      </c>
      <c r="B568" s="4" t="s">
        <v>97</v>
      </c>
      <c r="C568" s="4">
        <v>1</v>
      </c>
      <c r="D568" s="4">
        <v>5</v>
      </c>
      <c r="E568" s="4" t="s">
        <v>43</v>
      </c>
      <c r="F568" s="4">
        <v>828</v>
      </c>
      <c r="G568" s="4">
        <v>2006</v>
      </c>
      <c r="H568" s="4" t="s">
        <v>34</v>
      </c>
      <c r="I568" s="5">
        <v>1.04</v>
      </c>
      <c r="J568" s="4">
        <v>1838</v>
      </c>
      <c r="K568" s="3">
        <v>1767</v>
      </c>
      <c r="L568" s="3">
        <v>200</v>
      </c>
      <c r="M568" s="5">
        <v>5.66</v>
      </c>
      <c r="N568" s="5">
        <f t="shared" si="41"/>
        <v>5.4423076923076925</v>
      </c>
      <c r="O568" s="5">
        <f t="shared" si="43"/>
        <v>6.1588683351468987</v>
      </c>
      <c r="P568" s="8">
        <v>40822</v>
      </c>
      <c r="Q568" s="6">
        <v>24.2</v>
      </c>
      <c r="R568" s="5">
        <v>3.4</v>
      </c>
      <c r="S568" s="6">
        <v>6.8</v>
      </c>
      <c r="T568" s="3"/>
    </row>
    <row r="569" spans="1:20" s="4" customFormat="1" ht="15" customHeight="1" x14ac:dyDescent="0.2">
      <c r="A569" s="4">
        <v>2011</v>
      </c>
      <c r="B569" s="4" t="s">
        <v>97</v>
      </c>
      <c r="C569" s="4">
        <v>2</v>
      </c>
      <c r="D569" s="4">
        <v>5</v>
      </c>
      <c r="E569" s="4" t="s">
        <v>43</v>
      </c>
      <c r="F569" s="4">
        <v>667</v>
      </c>
      <c r="G569" s="4">
        <v>2006</v>
      </c>
      <c r="H569" s="4" t="s">
        <v>34</v>
      </c>
      <c r="I569" s="5">
        <v>1.31</v>
      </c>
      <c r="J569" s="4">
        <v>2461</v>
      </c>
      <c r="K569" s="3">
        <v>1878</v>
      </c>
      <c r="L569" s="3"/>
      <c r="M569" s="5">
        <v>3.53</v>
      </c>
      <c r="N569" s="5">
        <f t="shared" si="41"/>
        <v>2.6946564885496183</v>
      </c>
      <c r="O569" s="5">
        <f t="shared" si="43"/>
        <v>2.8687525396180416</v>
      </c>
      <c r="P569" s="8">
        <v>40822</v>
      </c>
      <c r="Q569" s="6">
        <v>24</v>
      </c>
      <c r="R569" s="5">
        <v>3.36</v>
      </c>
      <c r="S569" s="6">
        <v>7.2</v>
      </c>
      <c r="T569" s="3"/>
    </row>
    <row r="570" spans="1:20" s="4" customFormat="1" ht="15" customHeight="1" x14ac:dyDescent="0.2">
      <c r="A570" s="4">
        <v>2011</v>
      </c>
      <c r="B570" s="4" t="s">
        <v>97</v>
      </c>
      <c r="C570" s="4">
        <v>2</v>
      </c>
      <c r="D570" s="4">
        <v>6</v>
      </c>
      <c r="E570" s="4" t="s">
        <v>43</v>
      </c>
      <c r="F570" s="4">
        <v>777</v>
      </c>
      <c r="G570" s="4">
        <v>2006</v>
      </c>
      <c r="H570" s="4" t="s">
        <v>34</v>
      </c>
      <c r="I570" s="5">
        <v>1.22</v>
      </c>
      <c r="J570" s="4">
        <v>2209</v>
      </c>
      <c r="K570" s="3">
        <v>1820</v>
      </c>
      <c r="L570" s="3">
        <v>207</v>
      </c>
      <c r="M570" s="5">
        <v>4.24</v>
      </c>
      <c r="N570" s="5">
        <f t="shared" si="41"/>
        <v>3.4754098360655741</v>
      </c>
      <c r="O570" s="5">
        <f t="shared" si="43"/>
        <v>3.8388411045722046</v>
      </c>
      <c r="P570" s="8">
        <v>40822</v>
      </c>
      <c r="Q570" s="6">
        <v>24.2</v>
      </c>
      <c r="R570" s="5">
        <v>3.37</v>
      </c>
      <c r="S570" s="6">
        <v>6.6</v>
      </c>
      <c r="T570" s="3"/>
    </row>
    <row r="571" spans="1:20" s="4" customFormat="1" ht="15" customHeight="1" x14ac:dyDescent="0.2">
      <c r="A571" s="4">
        <v>2011</v>
      </c>
      <c r="B571" s="4" t="s">
        <v>97</v>
      </c>
      <c r="C571" s="4">
        <v>2</v>
      </c>
      <c r="D571" s="4">
        <v>7</v>
      </c>
      <c r="E571" s="4" t="s">
        <v>43</v>
      </c>
      <c r="F571" s="4">
        <v>777</v>
      </c>
      <c r="G571" s="4">
        <v>2006</v>
      </c>
      <c r="H571" s="4" t="s">
        <v>34</v>
      </c>
      <c r="I571" s="5">
        <v>0.45</v>
      </c>
      <c r="J571" s="4">
        <v>702</v>
      </c>
      <c r="K571" s="3">
        <v>1560</v>
      </c>
      <c r="L571" s="3">
        <v>235</v>
      </c>
      <c r="M571" s="5">
        <v>3.17</v>
      </c>
      <c r="N571" s="5">
        <f t="shared" si="41"/>
        <v>7.0444444444444443</v>
      </c>
      <c r="O571" s="5">
        <f t="shared" si="43"/>
        <v>9.0313390313390318</v>
      </c>
      <c r="P571" s="8">
        <v>40822</v>
      </c>
      <c r="Q571" s="6">
        <v>24.2</v>
      </c>
      <c r="R571" s="5">
        <v>3.37</v>
      </c>
      <c r="S571" s="6">
        <v>6.6</v>
      </c>
      <c r="T571" s="3"/>
    </row>
    <row r="572" spans="1:20" s="4" customFormat="1" ht="15" customHeight="1" x14ac:dyDescent="0.2">
      <c r="A572" s="4">
        <v>2011</v>
      </c>
      <c r="B572" s="4" t="s">
        <v>97</v>
      </c>
      <c r="C572" s="4">
        <v>2</v>
      </c>
      <c r="D572" s="4">
        <v>8</v>
      </c>
      <c r="E572" s="4" t="s">
        <v>43</v>
      </c>
      <c r="F572" s="4">
        <v>828</v>
      </c>
      <c r="G572" s="4">
        <v>2006</v>
      </c>
      <c r="H572" s="4" t="s">
        <v>34</v>
      </c>
      <c r="I572" s="5">
        <v>0.32</v>
      </c>
      <c r="J572" s="4">
        <v>656</v>
      </c>
      <c r="K572" s="3">
        <v>2050</v>
      </c>
      <c r="L572" s="3"/>
      <c r="M572" s="5">
        <v>0.35</v>
      </c>
      <c r="N572" s="5">
        <f t="shared" si="41"/>
        <v>1.09375</v>
      </c>
      <c r="O572" s="5">
        <f t="shared" ref="O572:O603" si="44">SUM(M572*2000)/J572</f>
        <v>1.0670731707317074</v>
      </c>
      <c r="P572" s="8">
        <v>40822</v>
      </c>
      <c r="Q572" s="6">
        <v>24.2</v>
      </c>
      <c r="R572" s="5">
        <v>3.4</v>
      </c>
      <c r="S572" s="6">
        <v>6.8</v>
      </c>
      <c r="T572" s="3"/>
    </row>
    <row r="573" spans="1:20" s="4" customFormat="1" ht="15" customHeight="1" x14ac:dyDescent="0.2">
      <c r="A573" s="4">
        <v>2012</v>
      </c>
      <c r="B573" s="4" t="s">
        <v>97</v>
      </c>
      <c r="C573" s="4">
        <v>1</v>
      </c>
      <c r="D573" s="4">
        <v>4</v>
      </c>
      <c r="E573" s="4" t="s">
        <v>43</v>
      </c>
      <c r="F573" s="4">
        <v>115</v>
      </c>
      <c r="G573" s="4">
        <v>1998</v>
      </c>
      <c r="H573" s="4" t="s">
        <v>67</v>
      </c>
      <c r="I573" s="5">
        <v>2.65</v>
      </c>
      <c r="J573" s="4">
        <v>3200</v>
      </c>
      <c r="K573" s="3">
        <v>1208</v>
      </c>
      <c r="L573" s="3">
        <v>200</v>
      </c>
      <c r="M573" s="5">
        <v>7.91</v>
      </c>
      <c r="N573" s="5">
        <f t="shared" si="41"/>
        <v>2.9849056603773585</v>
      </c>
      <c r="O573" s="5">
        <f t="shared" si="44"/>
        <v>4.9437499999999996</v>
      </c>
      <c r="P573" s="8">
        <v>41194</v>
      </c>
      <c r="Q573" s="6">
        <v>24.2</v>
      </c>
      <c r="R573" s="5">
        <v>3.51</v>
      </c>
      <c r="S573" s="6">
        <v>9</v>
      </c>
      <c r="T573" s="3"/>
    </row>
    <row r="574" spans="1:20" s="4" customFormat="1" ht="15" customHeight="1" x14ac:dyDescent="0.2">
      <c r="A574" s="4">
        <v>2012</v>
      </c>
      <c r="B574" s="4" t="s">
        <v>97</v>
      </c>
      <c r="C574" s="4">
        <v>1</v>
      </c>
      <c r="D574" s="4">
        <v>5</v>
      </c>
      <c r="E574" s="4" t="s">
        <v>43</v>
      </c>
      <c r="F574" s="4">
        <v>828</v>
      </c>
      <c r="G574" s="4">
        <v>2006</v>
      </c>
      <c r="H574" s="4" t="s">
        <v>34</v>
      </c>
      <c r="I574" s="5">
        <v>1.04</v>
      </c>
      <c r="J574" s="4">
        <v>1838</v>
      </c>
      <c r="K574" s="3">
        <v>1767</v>
      </c>
      <c r="L574" s="3">
        <v>160</v>
      </c>
      <c r="M574" s="5">
        <v>3.25</v>
      </c>
      <c r="N574" s="5">
        <f t="shared" si="41"/>
        <v>3.125</v>
      </c>
      <c r="O574" s="5">
        <f t="shared" si="44"/>
        <v>3.5364526659412405</v>
      </c>
      <c r="P574" s="8">
        <v>41185</v>
      </c>
      <c r="Q574" s="6">
        <v>22</v>
      </c>
      <c r="R574" s="6">
        <v>3.64</v>
      </c>
      <c r="S574" s="6">
        <v>7.5</v>
      </c>
      <c r="T574" s="3"/>
    </row>
    <row r="575" spans="1:20" s="4" customFormat="1" ht="15" customHeight="1" x14ac:dyDescent="0.2">
      <c r="A575" s="4">
        <v>2012</v>
      </c>
      <c r="B575" s="4" t="s">
        <v>97</v>
      </c>
      <c r="C575" s="4">
        <v>2</v>
      </c>
      <c r="D575" s="4">
        <v>5</v>
      </c>
      <c r="E575" s="4" t="s">
        <v>43</v>
      </c>
      <c r="F575" s="4">
        <v>667</v>
      </c>
      <c r="G575" s="4">
        <v>2006</v>
      </c>
      <c r="H575" s="4" t="s">
        <v>34</v>
      </c>
      <c r="I575" s="5">
        <v>1.31</v>
      </c>
      <c r="J575" s="4">
        <v>2461</v>
      </c>
      <c r="K575" s="3">
        <v>1878</v>
      </c>
      <c r="L575" s="3">
        <v>174</v>
      </c>
      <c r="M575" s="5">
        <v>4.6500000000000004</v>
      </c>
      <c r="N575" s="5">
        <f t="shared" si="41"/>
        <v>3.5496183206106871</v>
      </c>
      <c r="O575" s="5">
        <f t="shared" si="44"/>
        <v>3.7789516456724908</v>
      </c>
      <c r="P575" s="8">
        <v>41185</v>
      </c>
      <c r="Q575" s="6">
        <v>23.4</v>
      </c>
      <c r="R575" s="6">
        <v>3.62</v>
      </c>
      <c r="S575" s="6">
        <v>7.7</v>
      </c>
      <c r="T575" s="3"/>
    </row>
    <row r="576" spans="1:20" s="4" customFormat="1" ht="15" customHeight="1" x14ac:dyDescent="0.2">
      <c r="A576" s="4">
        <v>2012</v>
      </c>
      <c r="B576" s="4" t="s">
        <v>97</v>
      </c>
      <c r="C576" s="4">
        <v>2</v>
      </c>
      <c r="D576" s="4">
        <v>6</v>
      </c>
      <c r="E576" s="4" t="s">
        <v>43</v>
      </c>
      <c r="F576" s="4">
        <v>777</v>
      </c>
      <c r="G576" s="4">
        <v>2006</v>
      </c>
      <c r="H576" s="4" t="s">
        <v>34</v>
      </c>
      <c r="I576" s="5">
        <v>1.22</v>
      </c>
      <c r="J576" s="4">
        <v>2209</v>
      </c>
      <c r="K576" s="3">
        <v>1820</v>
      </c>
      <c r="L576" s="3">
        <v>158</v>
      </c>
      <c r="M576" s="5">
        <v>5.01</v>
      </c>
      <c r="N576" s="5">
        <f t="shared" si="41"/>
        <v>4.1065573770491799</v>
      </c>
      <c r="O576" s="5">
        <f t="shared" si="44"/>
        <v>4.5359891353553641</v>
      </c>
      <c r="P576" s="8">
        <v>41185</v>
      </c>
      <c r="Q576" s="6">
        <v>23.2</v>
      </c>
      <c r="R576" s="5">
        <v>3.48</v>
      </c>
      <c r="S576" s="6">
        <v>6.6</v>
      </c>
      <c r="T576" s="3"/>
    </row>
    <row r="577" spans="1:20" s="4" customFormat="1" ht="15" customHeight="1" x14ac:dyDescent="0.2">
      <c r="A577" s="4">
        <v>2012</v>
      </c>
      <c r="B577" s="4" t="s">
        <v>97</v>
      </c>
      <c r="C577" s="4">
        <v>2</v>
      </c>
      <c r="D577" s="4">
        <v>7</v>
      </c>
      <c r="E577" s="4" t="s">
        <v>43</v>
      </c>
      <c r="F577" s="4">
        <v>777</v>
      </c>
      <c r="G577" s="4">
        <v>2006</v>
      </c>
      <c r="H577" s="4" t="s">
        <v>34</v>
      </c>
      <c r="I577" s="5">
        <v>0.45</v>
      </c>
      <c r="J577" s="4">
        <v>702</v>
      </c>
      <c r="K577" s="3">
        <v>1560</v>
      </c>
      <c r="L577" s="3">
        <v>160</v>
      </c>
      <c r="M577" s="5">
        <v>1.91</v>
      </c>
      <c r="N577" s="5">
        <f t="shared" si="41"/>
        <v>4.2444444444444445</v>
      </c>
      <c r="O577" s="5">
        <f t="shared" si="44"/>
        <v>5.4415954415954415</v>
      </c>
      <c r="P577" s="8">
        <v>41185</v>
      </c>
      <c r="Q577" s="6">
        <v>23.4</v>
      </c>
      <c r="R577" s="6">
        <v>3.62</v>
      </c>
      <c r="S577" s="6">
        <v>7.7</v>
      </c>
      <c r="T577" s="3"/>
    </row>
    <row r="578" spans="1:20" s="4" customFormat="1" ht="15" customHeight="1" x14ac:dyDescent="0.2">
      <c r="A578" s="4">
        <v>2012</v>
      </c>
      <c r="B578" s="4" t="s">
        <v>97</v>
      </c>
      <c r="C578" s="4">
        <v>2</v>
      </c>
      <c r="D578" s="4">
        <v>8</v>
      </c>
      <c r="E578" s="4" t="s">
        <v>43</v>
      </c>
      <c r="F578" s="4">
        <v>828</v>
      </c>
      <c r="G578" s="4">
        <v>2006</v>
      </c>
      <c r="H578" s="4" t="s">
        <v>34</v>
      </c>
      <c r="I578" s="5">
        <v>0.32</v>
      </c>
      <c r="J578" s="4">
        <v>656</v>
      </c>
      <c r="K578" s="3">
        <v>2050</v>
      </c>
      <c r="L578" s="3">
        <v>148</v>
      </c>
      <c r="M578" s="5">
        <v>1.19</v>
      </c>
      <c r="N578" s="5">
        <f t="shared" si="41"/>
        <v>3.7187499999999996</v>
      </c>
      <c r="O578" s="5">
        <f t="shared" si="44"/>
        <v>3.6280487804878048</v>
      </c>
      <c r="P578" s="8">
        <v>41185</v>
      </c>
      <c r="Q578" s="6">
        <v>23.2</v>
      </c>
      <c r="R578" s="5">
        <v>3.48</v>
      </c>
      <c r="S578" s="6">
        <v>6.6</v>
      </c>
      <c r="T578" s="3"/>
    </row>
    <row r="579" spans="1:20" s="4" customFormat="1" ht="15" customHeight="1" x14ac:dyDescent="0.2">
      <c r="A579" s="4">
        <v>2000</v>
      </c>
      <c r="B579" s="4" t="s">
        <v>91</v>
      </c>
      <c r="C579" s="4">
        <v>3</v>
      </c>
      <c r="D579" s="4">
        <v>3</v>
      </c>
      <c r="E579" s="4" t="s">
        <v>43</v>
      </c>
      <c r="F579" s="4">
        <v>667</v>
      </c>
      <c r="G579" s="4">
        <v>1996</v>
      </c>
      <c r="H579" s="4" t="s">
        <v>45</v>
      </c>
      <c r="I579" s="5">
        <v>2.4700000000000002</v>
      </c>
      <c r="J579" s="3">
        <v>5000</v>
      </c>
      <c r="K579" s="3">
        <f t="shared" ref="K579:K610" si="45">SUM(J579/I579)</f>
        <v>2024.2914979757084</v>
      </c>
      <c r="L579" s="3">
        <v>160</v>
      </c>
      <c r="M579" s="5">
        <v>7.9065000000000003</v>
      </c>
      <c r="N579" s="5">
        <f t="shared" ref="N579:N612" si="46">SUM(M579)/I579</f>
        <v>3.2010121457489875</v>
      </c>
      <c r="O579" s="5">
        <f t="shared" si="44"/>
        <v>3.1625999999999999</v>
      </c>
      <c r="P579" s="8">
        <v>36819</v>
      </c>
      <c r="Q579" s="6">
        <v>23</v>
      </c>
      <c r="R579" s="5">
        <v>3.16</v>
      </c>
      <c r="S579" s="6">
        <v>11.5</v>
      </c>
      <c r="T579" s="3"/>
    </row>
    <row r="580" spans="1:20" s="4" customFormat="1" ht="15" customHeight="1" x14ac:dyDescent="0.2">
      <c r="A580" s="4">
        <v>2000</v>
      </c>
      <c r="B580" s="4" t="s">
        <v>91</v>
      </c>
      <c r="C580" s="4">
        <v>3</v>
      </c>
      <c r="D580" s="4">
        <v>5</v>
      </c>
      <c r="E580" s="4" t="s">
        <v>43</v>
      </c>
      <c r="F580" s="4" t="s">
        <v>46</v>
      </c>
      <c r="G580" s="4">
        <v>1990</v>
      </c>
      <c r="H580" s="4" t="s">
        <v>22</v>
      </c>
      <c r="I580" s="5">
        <v>0.91</v>
      </c>
      <c r="J580" s="3">
        <v>1013</v>
      </c>
      <c r="K580" s="3">
        <f t="shared" si="45"/>
        <v>1113.1868131868132</v>
      </c>
      <c r="L580" s="3">
        <v>209</v>
      </c>
      <c r="M580" s="5">
        <v>4.2885</v>
      </c>
      <c r="N580" s="5">
        <f t="shared" si="46"/>
        <v>4.7126373626373628</v>
      </c>
      <c r="O580" s="5">
        <f t="shared" si="44"/>
        <v>8.4669299111549847</v>
      </c>
      <c r="P580" s="8">
        <v>37549</v>
      </c>
      <c r="Q580" s="6">
        <v>21.4</v>
      </c>
      <c r="R580" s="5">
        <v>3.17</v>
      </c>
      <c r="S580" s="6">
        <v>9.3000000000000007</v>
      </c>
      <c r="T580" s="3"/>
    </row>
    <row r="581" spans="1:20" s="4" customFormat="1" ht="15" customHeight="1" x14ac:dyDescent="0.2">
      <c r="A581" s="4">
        <v>2000</v>
      </c>
      <c r="B581" s="4" t="s">
        <v>91</v>
      </c>
      <c r="C581" s="4">
        <v>3</v>
      </c>
      <c r="D581" s="4">
        <v>6</v>
      </c>
      <c r="E581" s="4" t="s">
        <v>43</v>
      </c>
      <c r="F581" s="4" t="s">
        <v>47</v>
      </c>
      <c r="G581" s="4">
        <v>1987</v>
      </c>
      <c r="H581" s="4" t="s">
        <v>22</v>
      </c>
      <c r="I581" s="5">
        <v>0.5</v>
      </c>
      <c r="J581" s="3">
        <v>600</v>
      </c>
      <c r="K581" s="3">
        <f t="shared" si="45"/>
        <v>1200</v>
      </c>
      <c r="L581" s="3"/>
      <c r="M581" s="5">
        <v>1.49</v>
      </c>
      <c r="N581" s="5">
        <f t="shared" si="46"/>
        <v>2.98</v>
      </c>
      <c r="O581" s="5">
        <f t="shared" si="44"/>
        <v>4.9666666666666668</v>
      </c>
      <c r="P581" s="8">
        <v>37563</v>
      </c>
      <c r="Q581" s="6">
        <v>22.2</v>
      </c>
      <c r="R581" s="5">
        <v>3.02</v>
      </c>
      <c r="S581" s="6">
        <v>9.6</v>
      </c>
      <c r="T581" s="3"/>
    </row>
    <row r="582" spans="1:20" s="4" customFormat="1" ht="15" customHeight="1" x14ac:dyDescent="0.2">
      <c r="A582" s="4">
        <v>2000</v>
      </c>
      <c r="B582" s="4" t="s">
        <v>91</v>
      </c>
      <c r="C582" s="4">
        <v>3</v>
      </c>
      <c r="D582" s="4">
        <v>7</v>
      </c>
      <c r="E582" s="4" t="s">
        <v>43</v>
      </c>
      <c r="F582" s="4" t="s">
        <v>48</v>
      </c>
      <c r="G582" s="4">
        <v>1987</v>
      </c>
      <c r="H582" s="4" t="s">
        <v>22</v>
      </c>
      <c r="I582" s="5">
        <v>0.96</v>
      </c>
      <c r="J582" s="3">
        <v>1160</v>
      </c>
      <c r="K582" s="3">
        <f t="shared" si="45"/>
        <v>1208.3333333333335</v>
      </c>
      <c r="L582" s="3"/>
      <c r="M582" s="5">
        <v>4.032</v>
      </c>
      <c r="N582" s="5">
        <f t="shared" si="46"/>
        <v>4.2</v>
      </c>
      <c r="O582" s="5">
        <f t="shared" si="44"/>
        <v>6.9517241379310342</v>
      </c>
      <c r="P582" s="8">
        <v>37198</v>
      </c>
      <c r="Q582" s="6"/>
      <c r="R582" s="5"/>
      <c r="S582" s="6"/>
      <c r="T582" s="3"/>
    </row>
    <row r="583" spans="1:20" s="4" customFormat="1" ht="15" customHeight="1" x14ac:dyDescent="0.2">
      <c r="A583" s="4">
        <v>2000</v>
      </c>
      <c r="B583" s="4" t="s">
        <v>91</v>
      </c>
      <c r="C583" s="4">
        <v>3</v>
      </c>
      <c r="D583" s="4">
        <v>8</v>
      </c>
      <c r="E583" s="4" t="s">
        <v>43</v>
      </c>
      <c r="F583" s="4" t="s">
        <v>49</v>
      </c>
      <c r="G583" s="4">
        <v>1975</v>
      </c>
      <c r="H583" s="4" t="s">
        <v>22</v>
      </c>
      <c r="I583" s="5">
        <v>0.54</v>
      </c>
      <c r="J583" s="3">
        <v>219</v>
      </c>
      <c r="K583" s="3">
        <f t="shared" si="45"/>
        <v>405.55555555555554</v>
      </c>
      <c r="L583" s="3"/>
      <c r="M583" s="5">
        <v>2.0895000000000001</v>
      </c>
      <c r="N583" s="5">
        <f t="shared" si="46"/>
        <v>3.8694444444444445</v>
      </c>
      <c r="O583" s="5">
        <f t="shared" si="44"/>
        <v>19.082191780821919</v>
      </c>
      <c r="P583" s="8">
        <v>37198</v>
      </c>
      <c r="Q583" s="6"/>
      <c r="R583" s="5"/>
      <c r="S583" s="6"/>
      <c r="T583" s="3"/>
    </row>
    <row r="584" spans="1:20" s="4" customFormat="1" ht="15" customHeight="1" x14ac:dyDescent="0.2">
      <c r="A584" s="4">
        <v>2000</v>
      </c>
      <c r="B584" s="4" t="s">
        <v>91</v>
      </c>
      <c r="C584" s="4">
        <v>4</v>
      </c>
      <c r="D584" s="4">
        <v>3</v>
      </c>
      <c r="E584" s="4" t="s">
        <v>43</v>
      </c>
      <c r="F584" s="4" t="s">
        <v>46</v>
      </c>
      <c r="G584" s="4">
        <v>1990</v>
      </c>
      <c r="H584" s="4" t="s">
        <v>22</v>
      </c>
      <c r="I584" s="5">
        <v>2.71</v>
      </c>
      <c r="J584" s="3">
        <v>3279</v>
      </c>
      <c r="K584" s="3">
        <f t="shared" si="45"/>
        <v>1209.9630996309963</v>
      </c>
      <c r="L584" s="3">
        <v>91</v>
      </c>
      <c r="M584" s="5">
        <v>15.029500000000001</v>
      </c>
      <c r="N584" s="5">
        <f t="shared" si="46"/>
        <v>5.5459409594095943</v>
      </c>
      <c r="O584" s="5">
        <f t="shared" si="44"/>
        <v>9.1671241232082945</v>
      </c>
      <c r="P584" s="8">
        <v>36817</v>
      </c>
      <c r="Q584" s="6">
        <v>23.3</v>
      </c>
      <c r="R584" s="5">
        <v>3.13</v>
      </c>
      <c r="S584" s="6">
        <v>10.9</v>
      </c>
      <c r="T584" s="3"/>
    </row>
    <row r="585" spans="1:20" s="4" customFormat="1" ht="15" customHeight="1" x14ac:dyDescent="0.2">
      <c r="A585" s="4">
        <v>2000</v>
      </c>
      <c r="B585" s="4" t="s">
        <v>91</v>
      </c>
      <c r="C585" s="4">
        <v>4</v>
      </c>
      <c r="D585" s="4">
        <v>10</v>
      </c>
      <c r="E585" s="4" t="s">
        <v>43</v>
      </c>
      <c r="F585" s="4" t="s">
        <v>46</v>
      </c>
      <c r="G585" s="4">
        <v>1990</v>
      </c>
      <c r="H585" s="4" t="s">
        <v>53</v>
      </c>
      <c r="I585" s="5">
        <v>1.73</v>
      </c>
      <c r="J585" s="3">
        <v>2093</v>
      </c>
      <c r="K585" s="3">
        <f t="shared" si="45"/>
        <v>1209.8265895953757</v>
      </c>
      <c r="L585" s="3"/>
      <c r="M585" s="5">
        <v>7.0225</v>
      </c>
      <c r="N585" s="5">
        <f t="shared" si="46"/>
        <v>4.0592485549132951</v>
      </c>
      <c r="O585" s="5">
        <f t="shared" si="44"/>
        <v>6.7104634495938846</v>
      </c>
      <c r="P585" s="8">
        <v>37198</v>
      </c>
      <c r="Q585" s="6">
        <v>24</v>
      </c>
      <c r="R585" s="5">
        <v>3.03</v>
      </c>
      <c r="S585" s="6">
        <v>10.199999999999999</v>
      </c>
      <c r="T585" s="3"/>
    </row>
    <row r="586" spans="1:20" s="4" customFormat="1" ht="15" customHeight="1" x14ac:dyDescent="0.2">
      <c r="A586" s="4">
        <v>2000</v>
      </c>
      <c r="B586" s="4" t="s">
        <v>91</v>
      </c>
      <c r="C586" s="4">
        <v>5</v>
      </c>
      <c r="D586" s="4">
        <v>5</v>
      </c>
      <c r="E586" s="4" t="s">
        <v>43</v>
      </c>
      <c r="F586" s="4">
        <v>115</v>
      </c>
      <c r="G586" s="4">
        <v>1997</v>
      </c>
      <c r="H586" s="4" t="s">
        <v>54</v>
      </c>
      <c r="I586" s="5">
        <v>1.43</v>
      </c>
      <c r="J586" s="3">
        <v>2450</v>
      </c>
      <c r="K586" s="3">
        <f t="shared" si="45"/>
        <v>1713.2867132867134</v>
      </c>
      <c r="L586" s="3"/>
      <c r="M586" s="5">
        <v>2.3845000000000001</v>
      </c>
      <c r="N586" s="5">
        <f t="shared" si="46"/>
        <v>1.6674825174825176</v>
      </c>
      <c r="O586" s="5">
        <f t="shared" si="44"/>
        <v>1.946530612244898</v>
      </c>
      <c r="P586" s="8">
        <v>37198</v>
      </c>
      <c r="Q586" s="6">
        <v>23.8</v>
      </c>
      <c r="R586" s="5">
        <v>3.21</v>
      </c>
      <c r="S586" s="6">
        <v>8.1999999999999993</v>
      </c>
      <c r="T586" s="3"/>
    </row>
    <row r="587" spans="1:20" s="4" customFormat="1" ht="15" customHeight="1" x14ac:dyDescent="0.2">
      <c r="A587" s="4">
        <v>2000</v>
      </c>
      <c r="B587" s="4" t="s">
        <v>91</v>
      </c>
      <c r="C587" s="4">
        <v>5</v>
      </c>
      <c r="D587" s="4">
        <v>6</v>
      </c>
      <c r="E587" s="4" t="s">
        <v>43</v>
      </c>
      <c r="F587" s="4">
        <v>777</v>
      </c>
      <c r="G587" s="4">
        <v>1997</v>
      </c>
      <c r="H587" s="4" t="s">
        <v>54</v>
      </c>
      <c r="I587" s="5">
        <v>1.87</v>
      </c>
      <c r="J587" s="3">
        <v>3200</v>
      </c>
      <c r="K587" s="3">
        <f t="shared" si="45"/>
        <v>1711.229946524064</v>
      </c>
      <c r="L587" s="3"/>
      <c r="M587" s="5">
        <v>5.0324999999999998</v>
      </c>
      <c r="N587" s="5">
        <f t="shared" si="46"/>
        <v>2.6911764705882351</v>
      </c>
      <c r="O587" s="5">
        <f t="shared" si="44"/>
        <v>3.1453125000000002</v>
      </c>
      <c r="P587" s="8">
        <v>37198</v>
      </c>
      <c r="Q587" s="6">
        <v>24.2</v>
      </c>
      <c r="R587" s="5">
        <v>3.22</v>
      </c>
      <c r="S587" s="6">
        <v>8.3000000000000007</v>
      </c>
      <c r="T587" s="3"/>
    </row>
    <row r="588" spans="1:20" s="4" customFormat="1" ht="15" customHeight="1" x14ac:dyDescent="0.2">
      <c r="A588" s="4">
        <v>2001</v>
      </c>
      <c r="B588" s="4" t="s">
        <v>91</v>
      </c>
      <c r="C588" s="4">
        <v>3</v>
      </c>
      <c r="D588" s="4">
        <v>3</v>
      </c>
      <c r="E588" s="4" t="s">
        <v>43</v>
      </c>
      <c r="F588" s="4">
        <v>667</v>
      </c>
      <c r="G588" s="4">
        <v>1996</v>
      </c>
      <c r="H588" s="4" t="s">
        <v>45</v>
      </c>
      <c r="I588" s="5">
        <v>2.4700000000000002</v>
      </c>
      <c r="J588" s="3">
        <v>5000</v>
      </c>
      <c r="K588" s="3">
        <f t="shared" si="45"/>
        <v>2024.2914979757084</v>
      </c>
      <c r="L588" s="3">
        <v>112</v>
      </c>
      <c r="M588" s="5">
        <v>11.07</v>
      </c>
      <c r="N588" s="5">
        <f t="shared" si="46"/>
        <v>4.4817813765182182</v>
      </c>
      <c r="O588" s="5">
        <f t="shared" si="44"/>
        <v>4.4279999999999999</v>
      </c>
      <c r="P588" s="8">
        <v>37193</v>
      </c>
      <c r="Q588" s="6">
        <v>24.8</v>
      </c>
      <c r="R588" s="5">
        <v>3.18</v>
      </c>
      <c r="S588" s="6">
        <v>12.2</v>
      </c>
      <c r="T588" s="3"/>
    </row>
    <row r="589" spans="1:20" s="4" customFormat="1" ht="15" customHeight="1" x14ac:dyDescent="0.2">
      <c r="A589" s="4">
        <v>2001</v>
      </c>
      <c r="B589" s="4" t="s">
        <v>91</v>
      </c>
      <c r="C589" s="4">
        <v>3</v>
      </c>
      <c r="D589" s="4">
        <v>5</v>
      </c>
      <c r="E589" s="4" t="s">
        <v>43</v>
      </c>
      <c r="F589" s="4" t="s">
        <v>46</v>
      </c>
      <c r="G589" s="4">
        <v>1990</v>
      </c>
      <c r="H589" s="4" t="s">
        <v>22</v>
      </c>
      <c r="I589" s="5">
        <v>0.91</v>
      </c>
      <c r="J589" s="3">
        <v>1013</v>
      </c>
      <c r="K589" s="3">
        <f t="shared" si="45"/>
        <v>1113.1868131868132</v>
      </c>
      <c r="L589" s="3">
        <v>160</v>
      </c>
      <c r="M589" s="5">
        <v>3.3605</v>
      </c>
      <c r="N589" s="5">
        <f t="shared" si="46"/>
        <v>3.6928571428571426</v>
      </c>
      <c r="O589" s="5">
        <f t="shared" si="44"/>
        <v>6.6347482724580455</v>
      </c>
      <c r="P589" s="8">
        <v>37190</v>
      </c>
      <c r="Q589" s="6">
        <v>23.6</v>
      </c>
      <c r="R589" s="5">
        <v>3.01</v>
      </c>
      <c r="S589" s="6">
        <v>10.1</v>
      </c>
      <c r="T589" s="3"/>
    </row>
    <row r="590" spans="1:20" s="4" customFormat="1" ht="15" customHeight="1" x14ac:dyDescent="0.2">
      <c r="A590" s="4">
        <v>2001</v>
      </c>
      <c r="B590" s="4" t="s">
        <v>91</v>
      </c>
      <c r="C590" s="4">
        <v>3</v>
      </c>
      <c r="D590" s="4">
        <v>6</v>
      </c>
      <c r="E590" s="4" t="s">
        <v>43</v>
      </c>
      <c r="F590" s="4" t="s">
        <v>47</v>
      </c>
      <c r="G590" s="4">
        <v>1987</v>
      </c>
      <c r="H590" s="4" t="s">
        <v>22</v>
      </c>
      <c r="I590" s="5">
        <v>0.5</v>
      </c>
      <c r="J590" s="3">
        <v>600</v>
      </c>
      <c r="K590" s="3">
        <f t="shared" si="45"/>
        <v>1200</v>
      </c>
      <c r="L590" s="3">
        <v>180</v>
      </c>
      <c r="M590" s="5">
        <v>1.8</v>
      </c>
      <c r="N590" s="5">
        <f t="shared" si="46"/>
        <v>3.6</v>
      </c>
      <c r="O590" s="5">
        <f t="shared" si="44"/>
        <v>6</v>
      </c>
      <c r="P590" s="8">
        <v>37193</v>
      </c>
      <c r="Q590" s="6">
        <v>23.6</v>
      </c>
      <c r="R590" s="5">
        <v>3.1</v>
      </c>
      <c r="S590" s="6">
        <v>11.4</v>
      </c>
      <c r="T590" s="3"/>
    </row>
    <row r="591" spans="1:20" s="4" customFormat="1" ht="15" customHeight="1" x14ac:dyDescent="0.2">
      <c r="A591" s="4">
        <v>2001</v>
      </c>
      <c r="B591" s="4" t="s">
        <v>91</v>
      </c>
      <c r="C591" s="4">
        <v>3</v>
      </c>
      <c r="D591" s="4">
        <v>7</v>
      </c>
      <c r="E591" s="4" t="s">
        <v>43</v>
      </c>
      <c r="F591" s="4" t="s">
        <v>48</v>
      </c>
      <c r="G591" s="4">
        <v>1987</v>
      </c>
      <c r="H591" s="4" t="s">
        <v>22</v>
      </c>
      <c r="I591" s="5">
        <v>0.96</v>
      </c>
      <c r="J591" s="3">
        <v>1160</v>
      </c>
      <c r="K591" s="3">
        <f t="shared" si="45"/>
        <v>1208.3333333333335</v>
      </c>
      <c r="L591" s="3">
        <v>178</v>
      </c>
      <c r="M591" s="5">
        <v>3.7545000000000002</v>
      </c>
      <c r="N591" s="5">
        <f t="shared" si="46"/>
        <v>3.9109375000000002</v>
      </c>
      <c r="O591" s="5">
        <f t="shared" si="44"/>
        <v>6.4732758620689657</v>
      </c>
      <c r="P591" s="8">
        <v>37190</v>
      </c>
      <c r="Q591" s="6">
        <v>23</v>
      </c>
      <c r="R591" s="5">
        <v>3</v>
      </c>
      <c r="S591" s="6">
        <v>11</v>
      </c>
      <c r="T591" s="3"/>
    </row>
    <row r="592" spans="1:20" s="4" customFormat="1" ht="15" customHeight="1" x14ac:dyDescent="0.2">
      <c r="A592" s="4">
        <v>2001</v>
      </c>
      <c r="B592" s="4" t="s">
        <v>91</v>
      </c>
      <c r="C592" s="4">
        <v>3</v>
      </c>
      <c r="D592" s="4">
        <v>8</v>
      </c>
      <c r="E592" s="4" t="s">
        <v>43</v>
      </c>
      <c r="F592" s="4" t="s">
        <v>49</v>
      </c>
      <c r="G592" s="4">
        <v>1975</v>
      </c>
      <c r="H592" s="4" t="s">
        <v>22</v>
      </c>
      <c r="I592" s="5">
        <v>0.54</v>
      </c>
      <c r="J592" s="3">
        <v>219</v>
      </c>
      <c r="K592" s="3">
        <f t="shared" si="45"/>
        <v>405.55555555555554</v>
      </c>
      <c r="L592" s="3">
        <v>180</v>
      </c>
      <c r="M592" s="5">
        <v>0.52749999999999997</v>
      </c>
      <c r="N592" s="5">
        <f t="shared" si="46"/>
        <v>0.97685185185185175</v>
      </c>
      <c r="O592" s="5">
        <f t="shared" si="44"/>
        <v>4.8173515981735155</v>
      </c>
      <c r="P592" s="8">
        <v>37193</v>
      </c>
      <c r="Q592" s="6">
        <v>23.6</v>
      </c>
      <c r="R592" s="5">
        <v>3.1</v>
      </c>
      <c r="S592" s="6">
        <v>11.4</v>
      </c>
      <c r="T592" s="3"/>
    </row>
    <row r="593" spans="1:20" s="4" customFormat="1" ht="15" customHeight="1" x14ac:dyDescent="0.2">
      <c r="A593" s="4">
        <v>2001</v>
      </c>
      <c r="B593" s="4" t="s">
        <v>91</v>
      </c>
      <c r="C593" s="4">
        <v>3</v>
      </c>
      <c r="D593" s="4">
        <v>9</v>
      </c>
      <c r="E593" s="4" t="s">
        <v>43</v>
      </c>
      <c r="F593" s="4" t="s">
        <v>46</v>
      </c>
      <c r="G593" s="4">
        <v>1990</v>
      </c>
      <c r="H593" s="4" t="s">
        <v>22</v>
      </c>
      <c r="I593" s="5">
        <v>0.2</v>
      </c>
      <c r="J593" s="3">
        <v>219</v>
      </c>
      <c r="K593" s="3">
        <f t="shared" si="45"/>
        <v>1095</v>
      </c>
      <c r="L593" s="3"/>
      <c r="M593" s="5">
        <v>1.042</v>
      </c>
      <c r="N593" s="5">
        <f t="shared" si="46"/>
        <v>5.21</v>
      </c>
      <c r="O593" s="5">
        <f t="shared" si="44"/>
        <v>9.5159817351598175</v>
      </c>
      <c r="Q593" s="6"/>
      <c r="R593" s="5"/>
      <c r="S593" s="6"/>
      <c r="T593" s="3"/>
    </row>
    <row r="594" spans="1:20" s="4" customFormat="1" ht="15" customHeight="1" x14ac:dyDescent="0.2">
      <c r="A594" s="4">
        <v>2001</v>
      </c>
      <c r="B594" s="4" t="s">
        <v>91</v>
      </c>
      <c r="C594" s="4">
        <v>4</v>
      </c>
      <c r="D594" s="4">
        <v>3</v>
      </c>
      <c r="E594" s="4" t="s">
        <v>43</v>
      </c>
      <c r="F594" s="4" t="s">
        <v>46</v>
      </c>
      <c r="G594" s="4">
        <v>1990</v>
      </c>
      <c r="H594" s="4" t="s">
        <v>22</v>
      </c>
      <c r="I594" s="5">
        <v>2.71</v>
      </c>
      <c r="J594" s="3">
        <v>3279</v>
      </c>
      <c r="K594" s="3">
        <f t="shared" si="45"/>
        <v>1209.9630996309963</v>
      </c>
      <c r="L594" s="3">
        <v>175</v>
      </c>
      <c r="M594" s="5">
        <v>10.119999999999999</v>
      </c>
      <c r="N594" s="5">
        <f t="shared" si="46"/>
        <v>3.7343173431734313</v>
      </c>
      <c r="O594" s="5">
        <f t="shared" si="44"/>
        <v>6.1726136017078375</v>
      </c>
      <c r="P594" s="8">
        <v>37190</v>
      </c>
      <c r="Q594" s="6">
        <v>24.2</v>
      </c>
      <c r="R594" s="5">
        <v>3.17</v>
      </c>
      <c r="S594" s="6">
        <v>10.3</v>
      </c>
      <c r="T594" s="3"/>
    </row>
    <row r="595" spans="1:20" s="4" customFormat="1" ht="15" customHeight="1" x14ac:dyDescent="0.2">
      <c r="A595" s="4">
        <v>2001</v>
      </c>
      <c r="B595" s="4" t="s">
        <v>91</v>
      </c>
      <c r="C595" s="4">
        <v>4</v>
      </c>
      <c r="D595" s="4">
        <v>10</v>
      </c>
      <c r="E595" s="4" t="s">
        <v>43</v>
      </c>
      <c r="F595" s="4" t="s">
        <v>46</v>
      </c>
      <c r="G595" s="4">
        <v>1990</v>
      </c>
      <c r="H595" s="4" t="s">
        <v>53</v>
      </c>
      <c r="I595" s="5">
        <v>1.73</v>
      </c>
      <c r="J595" s="3">
        <v>2093</v>
      </c>
      <c r="K595" s="3">
        <f t="shared" si="45"/>
        <v>1209.8265895953757</v>
      </c>
      <c r="L595" s="3">
        <v>185</v>
      </c>
      <c r="M595" s="5">
        <v>5.6050000000000004</v>
      </c>
      <c r="N595" s="5">
        <f t="shared" si="46"/>
        <v>3.2398843930635839</v>
      </c>
      <c r="O595" s="5">
        <f t="shared" si="44"/>
        <v>5.3559483994266603</v>
      </c>
      <c r="P595" s="8">
        <v>37190</v>
      </c>
      <c r="Q595" s="6">
        <v>22.8</v>
      </c>
      <c r="R595" s="5">
        <v>3.13</v>
      </c>
      <c r="S595" s="6">
        <v>9.1999999999999993</v>
      </c>
      <c r="T595" s="3"/>
    </row>
    <row r="596" spans="1:20" s="4" customFormat="1" ht="15" customHeight="1" x14ac:dyDescent="0.2">
      <c r="A596" s="4">
        <v>2001</v>
      </c>
      <c r="B596" s="4" t="s">
        <v>91</v>
      </c>
      <c r="C596" s="4">
        <v>5</v>
      </c>
      <c r="D596" s="4">
        <v>5</v>
      </c>
      <c r="E596" s="4" t="s">
        <v>43</v>
      </c>
      <c r="F596" s="4">
        <v>115</v>
      </c>
      <c r="G596" s="4">
        <v>1997</v>
      </c>
      <c r="H596" s="4" t="s">
        <v>54</v>
      </c>
      <c r="I596" s="5">
        <v>1.43</v>
      </c>
      <c r="J596" s="3">
        <v>2450</v>
      </c>
      <c r="K596" s="3">
        <f t="shared" si="45"/>
        <v>1713.2867132867134</v>
      </c>
      <c r="L596" s="3">
        <v>120</v>
      </c>
      <c r="M596" s="5">
        <v>3.9</v>
      </c>
      <c r="N596" s="5">
        <f t="shared" si="46"/>
        <v>2.7272727272727275</v>
      </c>
      <c r="O596" s="5">
        <f t="shared" si="44"/>
        <v>3.1836734693877551</v>
      </c>
      <c r="P596" s="8">
        <v>37194</v>
      </c>
      <c r="Q596" s="6">
        <v>23</v>
      </c>
      <c r="R596" s="5">
        <v>3.11</v>
      </c>
      <c r="S596" s="6">
        <v>9.1999999999999993</v>
      </c>
      <c r="T596" s="3"/>
    </row>
    <row r="597" spans="1:20" s="4" customFormat="1" ht="15" customHeight="1" x14ac:dyDescent="0.2">
      <c r="A597" s="4">
        <v>2001</v>
      </c>
      <c r="B597" s="4" t="s">
        <v>91</v>
      </c>
      <c r="C597" s="4">
        <v>5</v>
      </c>
      <c r="D597" s="4">
        <v>6</v>
      </c>
      <c r="E597" s="4" t="s">
        <v>43</v>
      </c>
      <c r="F597" s="4">
        <v>777</v>
      </c>
      <c r="G597" s="4">
        <v>1997</v>
      </c>
      <c r="H597" s="4" t="s">
        <v>54</v>
      </c>
      <c r="I597" s="5">
        <v>1.87</v>
      </c>
      <c r="J597" s="3">
        <v>3200</v>
      </c>
      <c r="K597" s="3">
        <f t="shared" si="45"/>
        <v>1711.229946524064</v>
      </c>
      <c r="L597" s="3">
        <v>125</v>
      </c>
      <c r="M597" s="5">
        <v>6.09</v>
      </c>
      <c r="N597" s="5">
        <f t="shared" si="46"/>
        <v>3.2566844919786093</v>
      </c>
      <c r="O597" s="5">
        <f t="shared" si="44"/>
        <v>3.8062499999999999</v>
      </c>
      <c r="P597" s="8">
        <v>37194</v>
      </c>
      <c r="Q597" s="6">
        <v>23.2</v>
      </c>
      <c r="R597" s="5">
        <v>3.23</v>
      </c>
      <c r="S597" s="6">
        <v>8.6999999999999993</v>
      </c>
      <c r="T597" s="3"/>
    </row>
    <row r="598" spans="1:20" s="4" customFormat="1" ht="15" customHeight="1" x14ac:dyDescent="0.2">
      <c r="A598" s="4">
        <v>2002</v>
      </c>
      <c r="B598" s="4" t="s">
        <v>91</v>
      </c>
      <c r="C598" s="4">
        <v>3</v>
      </c>
      <c r="D598" s="4">
        <v>3</v>
      </c>
      <c r="E598" s="4" t="s">
        <v>43</v>
      </c>
      <c r="F598" s="4">
        <v>667</v>
      </c>
      <c r="G598" s="4">
        <v>1996</v>
      </c>
      <c r="H598" s="4" t="s">
        <v>45</v>
      </c>
      <c r="I598" s="5">
        <v>2.4700000000000002</v>
      </c>
      <c r="J598" s="3">
        <v>5000</v>
      </c>
      <c r="K598" s="3">
        <f t="shared" si="45"/>
        <v>2024.2914979757084</v>
      </c>
      <c r="L598" s="4">
        <v>188</v>
      </c>
      <c r="M598" s="5">
        <v>10.72</v>
      </c>
      <c r="N598" s="5">
        <f t="shared" si="46"/>
        <v>4.3400809716599191</v>
      </c>
      <c r="O598" s="5">
        <f t="shared" si="44"/>
        <v>4.2880000000000003</v>
      </c>
      <c r="P598" s="8">
        <v>37904</v>
      </c>
      <c r="Q598" s="6">
        <v>24.2</v>
      </c>
      <c r="R598" s="5">
        <v>3.56</v>
      </c>
      <c r="S598" s="6">
        <v>7.4</v>
      </c>
      <c r="T598" s="3"/>
    </row>
    <row r="599" spans="1:20" s="4" customFormat="1" ht="15" customHeight="1" x14ac:dyDescent="0.2">
      <c r="A599" s="4">
        <v>2002</v>
      </c>
      <c r="B599" s="4" t="s">
        <v>91</v>
      </c>
      <c r="C599" s="4">
        <v>3</v>
      </c>
      <c r="D599" s="4">
        <v>5</v>
      </c>
      <c r="E599" s="4" t="s">
        <v>43</v>
      </c>
      <c r="F599" s="4" t="s">
        <v>46</v>
      </c>
      <c r="G599" s="4">
        <v>1990</v>
      </c>
      <c r="H599" s="4" t="s">
        <v>22</v>
      </c>
      <c r="I599" s="5">
        <v>0.91</v>
      </c>
      <c r="J599" s="3">
        <v>1013</v>
      </c>
      <c r="K599" s="3">
        <f t="shared" si="45"/>
        <v>1113.1868131868132</v>
      </c>
      <c r="L599" s="4">
        <v>220</v>
      </c>
      <c r="M599" s="5">
        <v>2.85</v>
      </c>
      <c r="N599" s="5">
        <f t="shared" si="46"/>
        <v>3.1318681318681318</v>
      </c>
      <c r="O599" s="5">
        <f t="shared" si="44"/>
        <v>5.6268509378084897</v>
      </c>
      <c r="P599" s="8">
        <v>37902</v>
      </c>
      <c r="Q599" s="6">
        <v>25.6</v>
      </c>
      <c r="R599" s="5">
        <v>3.51</v>
      </c>
      <c r="S599" s="6">
        <v>6.8</v>
      </c>
      <c r="T599" s="3"/>
    </row>
    <row r="600" spans="1:20" s="4" customFormat="1" ht="15" customHeight="1" x14ac:dyDescent="0.2">
      <c r="A600" s="4">
        <v>2002</v>
      </c>
      <c r="B600" s="4" t="s">
        <v>91</v>
      </c>
      <c r="C600" s="4">
        <v>3</v>
      </c>
      <c r="D600" s="4">
        <v>6</v>
      </c>
      <c r="E600" s="4" t="s">
        <v>43</v>
      </c>
      <c r="F600" s="4" t="s">
        <v>47</v>
      </c>
      <c r="G600" s="4">
        <v>1987</v>
      </c>
      <c r="H600" s="4" t="s">
        <v>22</v>
      </c>
      <c r="I600" s="5">
        <v>0.5</v>
      </c>
      <c r="J600" s="3">
        <v>600</v>
      </c>
      <c r="K600" s="3">
        <f t="shared" si="45"/>
        <v>1200</v>
      </c>
      <c r="L600" s="3">
        <v>180</v>
      </c>
      <c r="M600" s="5">
        <v>1.19</v>
      </c>
      <c r="N600" s="5">
        <f t="shared" si="46"/>
        <v>2.38</v>
      </c>
      <c r="O600" s="5">
        <f t="shared" si="44"/>
        <v>3.9666666666666668</v>
      </c>
      <c r="P600" s="8">
        <v>37902</v>
      </c>
      <c r="Q600" s="6">
        <v>25</v>
      </c>
      <c r="R600" s="5">
        <v>3.42</v>
      </c>
      <c r="S600" s="6">
        <v>7.7</v>
      </c>
      <c r="T600" s="3"/>
    </row>
    <row r="601" spans="1:20" s="4" customFormat="1" ht="15" customHeight="1" x14ac:dyDescent="0.2">
      <c r="A601" s="4">
        <v>2002</v>
      </c>
      <c r="B601" s="4" t="s">
        <v>91</v>
      </c>
      <c r="C601" s="4">
        <v>3</v>
      </c>
      <c r="D601" s="4">
        <v>7</v>
      </c>
      <c r="E601" s="4" t="s">
        <v>43</v>
      </c>
      <c r="F601" s="4" t="s">
        <v>48</v>
      </c>
      <c r="G601" s="4">
        <v>1987</v>
      </c>
      <c r="H601" s="4" t="s">
        <v>22</v>
      </c>
      <c r="I601" s="5">
        <v>0.96</v>
      </c>
      <c r="J601" s="3">
        <v>1160</v>
      </c>
      <c r="K601" s="3">
        <f t="shared" si="45"/>
        <v>1208.3333333333335</v>
      </c>
      <c r="L601" s="3">
        <v>163</v>
      </c>
      <c r="M601" s="5">
        <v>2.12</v>
      </c>
      <c r="N601" s="5">
        <f t="shared" si="46"/>
        <v>2.2083333333333335</v>
      </c>
      <c r="O601" s="5">
        <f t="shared" si="44"/>
        <v>3.6551724137931036</v>
      </c>
      <c r="P601" s="8">
        <v>37902</v>
      </c>
      <c r="Q601" s="6">
        <v>25.6</v>
      </c>
      <c r="R601" s="5">
        <v>3.51</v>
      </c>
      <c r="S601" s="6">
        <v>6.8</v>
      </c>
      <c r="T601" s="3"/>
    </row>
    <row r="602" spans="1:20" s="4" customFormat="1" ht="15" customHeight="1" x14ac:dyDescent="0.2">
      <c r="A602" s="4">
        <v>2002</v>
      </c>
      <c r="B602" s="4" t="s">
        <v>91</v>
      </c>
      <c r="C602" s="4">
        <v>3</v>
      </c>
      <c r="D602" s="4">
        <v>8</v>
      </c>
      <c r="E602" s="4" t="s">
        <v>43</v>
      </c>
      <c r="F602" s="4" t="s">
        <v>49</v>
      </c>
      <c r="G602" s="4">
        <v>1975</v>
      </c>
      <c r="H602" s="4" t="s">
        <v>22</v>
      </c>
      <c r="I602" s="5">
        <v>0.54</v>
      </c>
      <c r="J602" s="3">
        <v>219</v>
      </c>
      <c r="K602" s="3">
        <f t="shared" si="45"/>
        <v>405.55555555555554</v>
      </c>
      <c r="L602" s="3">
        <v>170</v>
      </c>
      <c r="M602" s="5">
        <v>0.48</v>
      </c>
      <c r="N602" s="5">
        <f t="shared" si="46"/>
        <v>0.88888888888888884</v>
      </c>
      <c r="O602" s="5">
        <f t="shared" si="44"/>
        <v>4.3835616438356162</v>
      </c>
      <c r="P602" s="8">
        <v>37902</v>
      </c>
      <c r="Q602" s="6">
        <v>25</v>
      </c>
      <c r="R602" s="5">
        <v>3.42</v>
      </c>
      <c r="S602" s="6">
        <v>7.7</v>
      </c>
      <c r="T602" s="3"/>
    </row>
    <row r="603" spans="1:20" s="4" customFormat="1" ht="15" customHeight="1" x14ac:dyDescent="0.2">
      <c r="A603" s="4">
        <v>2002</v>
      </c>
      <c r="B603" s="4" t="s">
        <v>91</v>
      </c>
      <c r="C603" s="4">
        <v>3</v>
      </c>
      <c r="D603" s="4">
        <v>9</v>
      </c>
      <c r="E603" s="4" t="s">
        <v>43</v>
      </c>
      <c r="F603" s="4" t="s">
        <v>46</v>
      </c>
      <c r="G603" s="4">
        <v>1990</v>
      </c>
      <c r="H603" s="4" t="s">
        <v>22</v>
      </c>
      <c r="I603" s="5">
        <v>0.2</v>
      </c>
      <c r="J603" s="3">
        <v>219</v>
      </c>
      <c r="K603" s="3">
        <f t="shared" si="45"/>
        <v>1095</v>
      </c>
      <c r="L603" s="3">
        <v>158</v>
      </c>
      <c r="M603" s="5">
        <v>0.25</v>
      </c>
      <c r="N603" s="5">
        <f t="shared" si="46"/>
        <v>1.25</v>
      </c>
      <c r="O603" s="5">
        <f t="shared" si="44"/>
        <v>2.2831050228310503</v>
      </c>
      <c r="P603" s="8">
        <v>37902</v>
      </c>
      <c r="Q603" s="6">
        <v>25.6</v>
      </c>
      <c r="R603" s="5">
        <v>3.51</v>
      </c>
      <c r="S603" s="6">
        <v>6.8</v>
      </c>
      <c r="T603" s="3"/>
    </row>
    <row r="604" spans="1:20" s="4" customFormat="1" ht="15" customHeight="1" x14ac:dyDescent="0.2">
      <c r="A604" s="4">
        <v>2002</v>
      </c>
      <c r="B604" s="4" t="s">
        <v>91</v>
      </c>
      <c r="C604" s="4">
        <v>4</v>
      </c>
      <c r="D604" s="4">
        <v>3</v>
      </c>
      <c r="E604" s="4" t="s">
        <v>43</v>
      </c>
      <c r="F604" s="4" t="s">
        <v>46</v>
      </c>
      <c r="G604" s="4">
        <v>1990</v>
      </c>
      <c r="H604" s="4" t="s">
        <v>22</v>
      </c>
      <c r="I604" s="5">
        <v>2.71</v>
      </c>
      <c r="J604" s="3">
        <v>3279</v>
      </c>
      <c r="K604" s="3">
        <f t="shared" si="45"/>
        <v>1209.9630996309963</v>
      </c>
      <c r="L604" s="3">
        <v>220</v>
      </c>
      <c r="M604" s="5">
        <v>9.44</v>
      </c>
      <c r="N604" s="5">
        <f t="shared" si="46"/>
        <v>3.4833948339483394</v>
      </c>
      <c r="O604" s="5">
        <f t="shared" ref="O604:O612" si="47">SUM(M604*2000)/J604</f>
        <v>5.7578530039646232</v>
      </c>
      <c r="P604" s="8">
        <v>37899</v>
      </c>
      <c r="Q604" s="6">
        <v>24.6</v>
      </c>
      <c r="R604" s="5">
        <v>3.3</v>
      </c>
      <c r="S604" s="6">
        <v>6.3</v>
      </c>
      <c r="T604" s="3"/>
    </row>
    <row r="605" spans="1:20" s="4" customFormat="1" ht="15" customHeight="1" x14ac:dyDescent="0.2">
      <c r="A605" s="4">
        <v>2002</v>
      </c>
      <c r="B605" s="4" t="s">
        <v>91</v>
      </c>
      <c r="C605" s="4">
        <v>4</v>
      </c>
      <c r="D605" s="4">
        <v>10</v>
      </c>
      <c r="E605" s="4" t="s">
        <v>43</v>
      </c>
      <c r="F605" s="4" t="s">
        <v>46</v>
      </c>
      <c r="G605" s="4">
        <v>1990</v>
      </c>
      <c r="H605" s="4" t="s">
        <v>53</v>
      </c>
      <c r="I605" s="5">
        <v>1.73</v>
      </c>
      <c r="J605" s="3">
        <v>2093</v>
      </c>
      <c r="K605" s="3">
        <f t="shared" si="45"/>
        <v>1209.8265895953757</v>
      </c>
      <c r="L605" s="4">
        <v>170</v>
      </c>
      <c r="M605" s="5">
        <v>3.6</v>
      </c>
      <c r="N605" s="5">
        <f t="shared" si="46"/>
        <v>2.0809248554913298</v>
      </c>
      <c r="O605" s="5">
        <f t="shared" si="47"/>
        <v>3.4400382226469182</v>
      </c>
      <c r="P605" s="8">
        <v>37902</v>
      </c>
      <c r="Q605" s="6">
        <v>25.2</v>
      </c>
      <c r="R605" s="5">
        <v>3.31</v>
      </c>
      <c r="S605" s="6">
        <v>8.6999999999999993</v>
      </c>
      <c r="T605" s="3"/>
    </row>
    <row r="606" spans="1:20" s="4" customFormat="1" ht="15" customHeight="1" x14ac:dyDescent="0.2">
      <c r="A606" s="4">
        <v>2002</v>
      </c>
      <c r="B606" s="4" t="s">
        <v>91</v>
      </c>
      <c r="C606" s="4">
        <v>5</v>
      </c>
      <c r="D606" s="4">
        <v>5</v>
      </c>
      <c r="E606" s="4" t="s">
        <v>43</v>
      </c>
      <c r="F606" s="4">
        <v>115</v>
      </c>
      <c r="G606" s="4">
        <v>1997</v>
      </c>
      <c r="H606" s="4" t="s">
        <v>54</v>
      </c>
      <c r="I606" s="5">
        <v>1.43</v>
      </c>
      <c r="J606" s="3">
        <v>2450</v>
      </c>
      <c r="K606" s="3">
        <f t="shared" si="45"/>
        <v>1713.2867132867134</v>
      </c>
      <c r="L606" s="4">
        <v>170</v>
      </c>
      <c r="M606" s="5">
        <v>5.58</v>
      </c>
      <c r="N606" s="5">
        <f t="shared" si="46"/>
        <v>3.9020979020979025</v>
      </c>
      <c r="O606" s="5">
        <f t="shared" si="47"/>
        <v>4.555102040816327</v>
      </c>
      <c r="P606" s="8">
        <v>37903</v>
      </c>
      <c r="Q606" s="6">
        <v>25.2</v>
      </c>
      <c r="R606" s="5">
        <v>3.38</v>
      </c>
      <c r="S606" s="6">
        <v>6.7</v>
      </c>
      <c r="T606" s="3"/>
    </row>
    <row r="607" spans="1:20" s="4" customFormat="1" ht="15" customHeight="1" x14ac:dyDescent="0.2">
      <c r="A607" s="4">
        <v>2002</v>
      </c>
      <c r="B607" s="4" t="s">
        <v>91</v>
      </c>
      <c r="C607" s="4">
        <v>5</v>
      </c>
      <c r="D607" s="4">
        <v>6</v>
      </c>
      <c r="E607" s="4" t="s">
        <v>43</v>
      </c>
      <c r="F607" s="4">
        <v>777</v>
      </c>
      <c r="G607" s="4">
        <v>1997</v>
      </c>
      <c r="H607" s="4" t="s">
        <v>54</v>
      </c>
      <c r="I607" s="5">
        <v>1.87</v>
      </c>
      <c r="J607" s="3">
        <v>3200</v>
      </c>
      <c r="K607" s="3">
        <f t="shared" si="45"/>
        <v>1711.229946524064</v>
      </c>
      <c r="L607" s="3">
        <v>150</v>
      </c>
      <c r="M607" s="5">
        <v>4.01</v>
      </c>
      <c r="N607" s="5">
        <f t="shared" si="46"/>
        <v>2.1443850267379676</v>
      </c>
      <c r="O607" s="5">
        <f t="shared" si="47"/>
        <v>2.5062500000000001</v>
      </c>
      <c r="P607" s="8">
        <v>37903</v>
      </c>
      <c r="Q607" s="6">
        <v>25</v>
      </c>
      <c r="R607" s="5">
        <v>3.41</v>
      </c>
      <c r="S607" s="6">
        <v>6.2</v>
      </c>
      <c r="T607" s="3"/>
    </row>
    <row r="608" spans="1:20" s="4" customFormat="1" ht="15" customHeight="1" x14ac:dyDescent="0.2">
      <c r="A608" s="4">
        <v>2003</v>
      </c>
      <c r="B608" s="4" t="s">
        <v>91</v>
      </c>
      <c r="C608" s="4">
        <v>3</v>
      </c>
      <c r="D608" s="4">
        <v>3</v>
      </c>
      <c r="E608" s="4" t="s">
        <v>43</v>
      </c>
      <c r="F608" s="4">
        <v>667</v>
      </c>
      <c r="G608" s="4">
        <v>1996</v>
      </c>
      <c r="H608" s="4" t="s">
        <v>45</v>
      </c>
      <c r="I608" s="5">
        <v>2.4700000000000002</v>
      </c>
      <c r="J608" s="3">
        <v>5000</v>
      </c>
      <c r="K608" s="3">
        <f t="shared" si="45"/>
        <v>2024.2914979757084</v>
      </c>
      <c r="L608" s="3">
        <v>175</v>
      </c>
      <c r="M608" s="5">
        <v>10.62</v>
      </c>
      <c r="N608" s="5">
        <f t="shared" si="46"/>
        <v>4.2995951417004044</v>
      </c>
      <c r="O608" s="5">
        <f t="shared" si="47"/>
        <v>4.2480000000000002</v>
      </c>
      <c r="P608" s="8">
        <v>37895</v>
      </c>
      <c r="Q608" s="6">
        <v>24.6</v>
      </c>
      <c r="R608" s="5">
        <v>3.45</v>
      </c>
      <c r="S608" s="6">
        <v>4.8</v>
      </c>
      <c r="T608" s="3"/>
    </row>
    <row r="609" spans="1:20" s="4" customFormat="1" ht="15" customHeight="1" x14ac:dyDescent="0.2">
      <c r="A609" s="4">
        <v>2003</v>
      </c>
      <c r="B609" s="4" t="s">
        <v>91</v>
      </c>
      <c r="C609" s="4">
        <v>3</v>
      </c>
      <c r="D609" s="4">
        <v>5</v>
      </c>
      <c r="E609" s="4" t="s">
        <v>43</v>
      </c>
      <c r="F609" s="4" t="s">
        <v>46</v>
      </c>
      <c r="G609" s="4">
        <v>1990</v>
      </c>
      <c r="H609" s="4" t="s">
        <v>22</v>
      </c>
      <c r="I609" s="5">
        <v>0.91</v>
      </c>
      <c r="J609" s="3">
        <v>1013</v>
      </c>
      <c r="K609" s="3">
        <f t="shared" si="45"/>
        <v>1113.1868131868132</v>
      </c>
      <c r="L609" s="3">
        <v>193</v>
      </c>
      <c r="M609" s="5">
        <v>4.0999999999999996</v>
      </c>
      <c r="N609" s="5">
        <f t="shared" si="46"/>
        <v>4.5054945054945046</v>
      </c>
      <c r="O609" s="5">
        <f t="shared" si="47"/>
        <v>8.0947680157946689</v>
      </c>
      <c r="P609" s="8">
        <v>37901</v>
      </c>
      <c r="Q609" s="6">
        <v>26</v>
      </c>
      <c r="R609" s="5">
        <v>3.33</v>
      </c>
      <c r="S609" s="6">
        <v>6</v>
      </c>
      <c r="T609" s="3"/>
    </row>
    <row r="610" spans="1:20" s="4" customFormat="1" ht="15" customHeight="1" x14ac:dyDescent="0.2">
      <c r="A610" s="4">
        <v>2003</v>
      </c>
      <c r="B610" s="4" t="s">
        <v>91</v>
      </c>
      <c r="C610" s="4">
        <v>3</v>
      </c>
      <c r="D610" s="4">
        <v>6</v>
      </c>
      <c r="E610" s="4" t="s">
        <v>43</v>
      </c>
      <c r="F610" s="4" t="s">
        <v>47</v>
      </c>
      <c r="G610" s="4">
        <v>1987</v>
      </c>
      <c r="H610" s="4" t="s">
        <v>22</v>
      </c>
      <c r="I610" s="5">
        <v>0.5</v>
      </c>
      <c r="J610" s="3">
        <v>600</v>
      </c>
      <c r="K610" s="3">
        <f t="shared" si="45"/>
        <v>1200</v>
      </c>
      <c r="L610" s="3">
        <v>190</v>
      </c>
      <c r="M610" s="5">
        <v>2.1</v>
      </c>
      <c r="N610" s="5">
        <f t="shared" si="46"/>
        <v>4.2</v>
      </c>
      <c r="O610" s="5">
        <f t="shared" si="47"/>
        <v>7</v>
      </c>
      <c r="P610" s="8">
        <v>37901</v>
      </c>
      <c r="Q610" s="6">
        <v>26</v>
      </c>
      <c r="R610" s="5">
        <v>3.33</v>
      </c>
      <c r="S610" s="6">
        <v>6</v>
      </c>
      <c r="T610" s="3"/>
    </row>
    <row r="611" spans="1:20" s="4" customFormat="1" ht="15" customHeight="1" x14ac:dyDescent="0.2">
      <c r="A611" s="4">
        <v>2003</v>
      </c>
      <c r="B611" s="4" t="s">
        <v>91</v>
      </c>
      <c r="C611" s="4">
        <v>3</v>
      </c>
      <c r="D611" s="4">
        <v>7</v>
      </c>
      <c r="E611" s="4" t="s">
        <v>43</v>
      </c>
      <c r="F611" s="4" t="s">
        <v>48</v>
      </c>
      <c r="G611" s="4">
        <v>1987</v>
      </c>
      <c r="H611" s="4" t="s">
        <v>22</v>
      </c>
      <c r="I611" s="5">
        <v>0.96</v>
      </c>
      <c r="J611" s="3">
        <v>1160</v>
      </c>
      <c r="K611" s="3">
        <f t="shared" ref="K611:K634" si="48">SUM(J611/I611)</f>
        <v>1208.3333333333335</v>
      </c>
      <c r="L611" s="3">
        <v>180</v>
      </c>
      <c r="M611" s="5">
        <v>3.6</v>
      </c>
      <c r="N611" s="5">
        <f t="shared" si="46"/>
        <v>3.7500000000000004</v>
      </c>
      <c r="O611" s="5">
        <f t="shared" si="47"/>
        <v>6.2068965517241379</v>
      </c>
      <c r="P611" s="8">
        <v>37901</v>
      </c>
      <c r="Q611" s="6">
        <v>26</v>
      </c>
      <c r="R611" s="5">
        <v>3.33</v>
      </c>
      <c r="S611" s="6">
        <v>6</v>
      </c>
      <c r="T611" s="3"/>
    </row>
    <row r="612" spans="1:20" s="4" customFormat="1" ht="15" customHeight="1" x14ac:dyDescent="0.2">
      <c r="A612" s="4">
        <v>2003</v>
      </c>
      <c r="B612" s="4" t="s">
        <v>91</v>
      </c>
      <c r="C612" s="4">
        <v>3</v>
      </c>
      <c r="D612" s="4">
        <v>8</v>
      </c>
      <c r="E612" s="4" t="s">
        <v>43</v>
      </c>
      <c r="F612" s="4" t="s">
        <v>49</v>
      </c>
      <c r="G612" s="4">
        <v>1975</v>
      </c>
      <c r="H612" s="4" t="s">
        <v>22</v>
      </c>
      <c r="I612" s="5">
        <v>0.54</v>
      </c>
      <c r="J612" s="3">
        <v>219</v>
      </c>
      <c r="K612" s="3">
        <f t="shared" si="48"/>
        <v>405.55555555555554</v>
      </c>
      <c r="L612" s="3">
        <v>180</v>
      </c>
      <c r="M612" s="5">
        <v>2.4</v>
      </c>
      <c r="N612" s="5">
        <f t="shared" si="46"/>
        <v>4.4444444444444438</v>
      </c>
      <c r="O612" s="5">
        <f t="shared" si="47"/>
        <v>21.917808219178081</v>
      </c>
      <c r="P612" s="8">
        <v>37901</v>
      </c>
      <c r="Q612" s="6">
        <v>26</v>
      </c>
      <c r="R612" s="5">
        <v>3.33</v>
      </c>
      <c r="S612" s="6">
        <v>6</v>
      </c>
      <c r="T612" s="3"/>
    </row>
    <row r="613" spans="1:20" s="4" customFormat="1" ht="15" customHeight="1" x14ac:dyDescent="0.2">
      <c r="A613" s="4">
        <v>2003</v>
      </c>
      <c r="B613" s="4" t="s">
        <v>91</v>
      </c>
      <c r="C613" s="4">
        <v>3</v>
      </c>
      <c r="D613" s="4">
        <v>9</v>
      </c>
      <c r="E613" s="4" t="s">
        <v>43</v>
      </c>
      <c r="F613" s="4" t="s">
        <v>46</v>
      </c>
      <c r="G613" s="4">
        <v>1990</v>
      </c>
      <c r="H613" s="4" t="s">
        <v>22</v>
      </c>
      <c r="I613" s="5">
        <v>0.2</v>
      </c>
      <c r="J613" s="3">
        <v>219</v>
      </c>
      <c r="K613" s="3">
        <f t="shared" si="48"/>
        <v>1095</v>
      </c>
      <c r="L613" s="3"/>
      <c r="M613" s="5"/>
      <c r="N613" s="5"/>
      <c r="O613" s="5"/>
      <c r="P613" s="8"/>
      <c r="Q613" s="6"/>
      <c r="R613" s="5"/>
      <c r="S613" s="6"/>
      <c r="T613" s="3"/>
    </row>
    <row r="614" spans="1:20" s="4" customFormat="1" ht="15" customHeight="1" x14ac:dyDescent="0.2">
      <c r="A614" s="4">
        <v>2003</v>
      </c>
      <c r="B614" s="4" t="s">
        <v>91</v>
      </c>
      <c r="C614" s="4">
        <v>4</v>
      </c>
      <c r="D614" s="4">
        <v>3</v>
      </c>
      <c r="E614" s="4" t="s">
        <v>43</v>
      </c>
      <c r="F614" s="4" t="s">
        <v>46</v>
      </c>
      <c r="G614" s="4">
        <v>1990</v>
      </c>
      <c r="H614" s="4" t="s">
        <v>22</v>
      </c>
      <c r="I614" s="5">
        <v>2.71</v>
      </c>
      <c r="J614" s="3">
        <v>3279</v>
      </c>
      <c r="K614" s="3">
        <f t="shared" si="48"/>
        <v>1209.9630996309963</v>
      </c>
      <c r="L614" s="3">
        <v>195</v>
      </c>
      <c r="M614" s="5">
        <v>10.47</v>
      </c>
      <c r="N614" s="5">
        <f t="shared" ref="N614:N622" si="49">SUM(M614)/I614</f>
        <v>3.8634686346863472</v>
      </c>
      <c r="O614" s="5">
        <f t="shared" ref="O614:O622" si="50">SUM(M614*2000)/J614</f>
        <v>6.3860933211344921</v>
      </c>
      <c r="P614" s="8">
        <v>37890</v>
      </c>
      <c r="Q614" s="6">
        <v>23.2</v>
      </c>
      <c r="R614" s="5">
        <v>3.3</v>
      </c>
      <c r="S614" s="6">
        <v>8</v>
      </c>
      <c r="T614" s="3"/>
    </row>
    <row r="615" spans="1:20" s="4" customFormat="1" ht="15" customHeight="1" x14ac:dyDescent="0.2">
      <c r="A615" s="4">
        <v>2003</v>
      </c>
      <c r="B615" s="4" t="s">
        <v>91</v>
      </c>
      <c r="C615" s="4">
        <v>4</v>
      </c>
      <c r="D615" s="4">
        <v>10</v>
      </c>
      <c r="E615" s="4" t="s">
        <v>43</v>
      </c>
      <c r="F615" s="4" t="s">
        <v>46</v>
      </c>
      <c r="G615" s="4">
        <v>1990</v>
      </c>
      <c r="H615" s="4" t="s">
        <v>53</v>
      </c>
      <c r="I615" s="5">
        <v>1.73</v>
      </c>
      <c r="J615" s="3">
        <v>2093</v>
      </c>
      <c r="K615" s="3">
        <f t="shared" si="48"/>
        <v>1209.8265895953757</v>
      </c>
      <c r="L615" s="4">
        <v>173</v>
      </c>
      <c r="M615" s="5">
        <v>8.3000000000000007</v>
      </c>
      <c r="N615" s="5">
        <f t="shared" si="49"/>
        <v>4.7976878612716769</v>
      </c>
      <c r="O615" s="5">
        <f t="shared" si="50"/>
        <v>7.9311992355470613</v>
      </c>
      <c r="P615" s="8">
        <v>37902</v>
      </c>
      <c r="Q615" s="6">
        <v>25</v>
      </c>
      <c r="R615" s="5">
        <v>3.27</v>
      </c>
      <c r="S615" s="6">
        <v>5.9</v>
      </c>
      <c r="T615" s="3"/>
    </row>
    <row r="616" spans="1:20" s="4" customFormat="1" ht="15" customHeight="1" x14ac:dyDescent="0.2">
      <c r="A616" s="4">
        <v>2003</v>
      </c>
      <c r="B616" s="4" t="s">
        <v>91</v>
      </c>
      <c r="C616" s="4">
        <v>5</v>
      </c>
      <c r="D616" s="4">
        <v>5</v>
      </c>
      <c r="E616" s="4" t="s">
        <v>43</v>
      </c>
      <c r="F616" s="4">
        <v>115</v>
      </c>
      <c r="G616" s="4">
        <v>1997</v>
      </c>
      <c r="H616" s="4" t="s">
        <v>54</v>
      </c>
      <c r="I616" s="5">
        <v>1.43</v>
      </c>
      <c r="J616" s="3">
        <v>2450</v>
      </c>
      <c r="K616" s="3">
        <f t="shared" si="48"/>
        <v>1713.2867132867134</v>
      </c>
      <c r="L616" s="4">
        <v>183</v>
      </c>
      <c r="M616" s="5">
        <v>4.5999999999999996</v>
      </c>
      <c r="N616" s="5">
        <f t="shared" si="49"/>
        <v>3.2167832167832167</v>
      </c>
      <c r="O616" s="5">
        <f t="shared" si="50"/>
        <v>3.7551020408163267</v>
      </c>
      <c r="P616" s="8">
        <v>37898</v>
      </c>
      <c r="Q616" s="6">
        <v>24.6</v>
      </c>
      <c r="R616" s="5">
        <v>3.58</v>
      </c>
      <c r="S616" s="6">
        <v>5</v>
      </c>
      <c r="T616" s="3"/>
    </row>
    <row r="617" spans="1:20" s="4" customFormat="1" ht="15" customHeight="1" x14ac:dyDescent="0.2">
      <c r="A617" s="4">
        <v>2003</v>
      </c>
      <c r="B617" s="4" t="s">
        <v>91</v>
      </c>
      <c r="C617" s="4">
        <v>5</v>
      </c>
      <c r="D617" s="4">
        <v>6</v>
      </c>
      <c r="E617" s="4" t="s">
        <v>43</v>
      </c>
      <c r="F617" s="4">
        <v>777</v>
      </c>
      <c r="G617" s="4">
        <v>1997</v>
      </c>
      <c r="H617" s="4" t="s">
        <v>54</v>
      </c>
      <c r="I617" s="5">
        <v>1.87</v>
      </c>
      <c r="J617" s="3">
        <v>3200</v>
      </c>
      <c r="K617" s="3">
        <f t="shared" si="48"/>
        <v>1711.229946524064</v>
      </c>
      <c r="L617" s="3">
        <v>180</v>
      </c>
      <c r="M617" s="5">
        <v>6.2</v>
      </c>
      <c r="N617" s="5">
        <f t="shared" si="49"/>
        <v>3.3155080213903743</v>
      </c>
      <c r="O617" s="5">
        <f t="shared" si="50"/>
        <v>3.875</v>
      </c>
      <c r="P617" s="8">
        <v>37898</v>
      </c>
      <c r="Q617" s="6">
        <v>24.8</v>
      </c>
      <c r="R617" s="5">
        <v>3.62</v>
      </c>
      <c r="S617" s="6">
        <v>4.9000000000000004</v>
      </c>
      <c r="T617" s="3"/>
    </row>
    <row r="618" spans="1:20" s="4" customFormat="1" ht="15" customHeight="1" x14ac:dyDescent="0.2">
      <c r="A618" s="4">
        <v>2004</v>
      </c>
      <c r="B618" s="4" t="s">
        <v>91</v>
      </c>
      <c r="C618" s="4">
        <v>3</v>
      </c>
      <c r="D618" s="4">
        <v>3</v>
      </c>
      <c r="E618" s="4" t="s">
        <v>43</v>
      </c>
      <c r="F618" s="4">
        <v>667</v>
      </c>
      <c r="G618" s="4">
        <v>1996</v>
      </c>
      <c r="H618" s="4" t="s">
        <v>45</v>
      </c>
      <c r="I618" s="5">
        <v>2.4700000000000002</v>
      </c>
      <c r="J618" s="3">
        <v>5000</v>
      </c>
      <c r="K618" s="3">
        <f t="shared" si="48"/>
        <v>2024.2914979757084</v>
      </c>
      <c r="L618" s="3">
        <v>215</v>
      </c>
      <c r="M618" s="5">
        <v>10.9</v>
      </c>
      <c r="N618" s="5">
        <f t="shared" si="49"/>
        <v>4.4129554655870447</v>
      </c>
      <c r="O618" s="5">
        <f t="shared" si="50"/>
        <v>4.3600000000000003</v>
      </c>
      <c r="P618" s="8">
        <v>38260</v>
      </c>
      <c r="Q618" s="6">
        <v>24.6</v>
      </c>
      <c r="R618" s="5">
        <v>3.5</v>
      </c>
      <c r="S618" s="6">
        <v>6.7</v>
      </c>
      <c r="T618" s="3"/>
    </row>
    <row r="619" spans="1:20" s="4" customFormat="1" ht="15" customHeight="1" x14ac:dyDescent="0.2">
      <c r="A619" s="4">
        <v>2004</v>
      </c>
      <c r="B619" s="4" t="s">
        <v>91</v>
      </c>
      <c r="C619" s="4">
        <v>3</v>
      </c>
      <c r="D619" s="4">
        <v>5</v>
      </c>
      <c r="E619" s="4" t="s">
        <v>43</v>
      </c>
      <c r="F619" s="4" t="s">
        <v>46</v>
      </c>
      <c r="G619" s="4">
        <v>1990</v>
      </c>
      <c r="H619" s="4" t="s">
        <v>22</v>
      </c>
      <c r="I619" s="5">
        <v>0.91</v>
      </c>
      <c r="J619" s="3">
        <v>1013</v>
      </c>
      <c r="K619" s="3">
        <f t="shared" si="48"/>
        <v>1113.1868131868132</v>
      </c>
      <c r="L619" s="3">
        <v>133</v>
      </c>
      <c r="M619" s="5">
        <v>4.4000000000000004</v>
      </c>
      <c r="N619" s="5">
        <f t="shared" si="49"/>
        <v>4.8351648351648358</v>
      </c>
      <c r="O619" s="5">
        <f t="shared" si="50"/>
        <v>8.6870681145113533</v>
      </c>
      <c r="P619" s="8">
        <v>38265</v>
      </c>
      <c r="Q619" s="6">
        <v>25.2</v>
      </c>
      <c r="R619" s="5">
        <v>3.41</v>
      </c>
      <c r="S619" s="6">
        <v>6.9</v>
      </c>
      <c r="T619" s="3"/>
    </row>
    <row r="620" spans="1:20" s="4" customFormat="1" ht="15" customHeight="1" x14ac:dyDescent="0.2">
      <c r="A620" s="4">
        <v>2004</v>
      </c>
      <c r="B620" s="4" t="s">
        <v>91</v>
      </c>
      <c r="C620" s="4">
        <v>3</v>
      </c>
      <c r="D620" s="4">
        <v>6</v>
      </c>
      <c r="E620" s="4" t="s">
        <v>43</v>
      </c>
      <c r="F620" s="4" t="s">
        <v>47</v>
      </c>
      <c r="G620" s="4">
        <v>1987</v>
      </c>
      <c r="H620" s="4" t="s">
        <v>22</v>
      </c>
      <c r="I620" s="5">
        <v>0.5</v>
      </c>
      <c r="J620" s="3">
        <v>600</v>
      </c>
      <c r="K620" s="3">
        <f t="shared" si="48"/>
        <v>1200</v>
      </c>
      <c r="L620" s="3">
        <v>170</v>
      </c>
      <c r="M620" s="5">
        <v>2.2000000000000002</v>
      </c>
      <c r="N620" s="5">
        <f t="shared" si="49"/>
        <v>4.4000000000000004</v>
      </c>
      <c r="O620" s="5">
        <f t="shared" si="50"/>
        <v>7.333333333333333</v>
      </c>
      <c r="P620" s="8">
        <v>38267</v>
      </c>
      <c r="Q620" s="6">
        <v>26.2</v>
      </c>
      <c r="R620" s="5">
        <v>3.53</v>
      </c>
      <c r="S620" s="6">
        <v>6.9</v>
      </c>
      <c r="T620" s="3"/>
    </row>
    <row r="621" spans="1:20" s="4" customFormat="1" ht="15" customHeight="1" x14ac:dyDescent="0.2">
      <c r="A621" s="4">
        <v>2004</v>
      </c>
      <c r="B621" s="4" t="s">
        <v>91</v>
      </c>
      <c r="C621" s="4">
        <v>3</v>
      </c>
      <c r="D621" s="4">
        <v>7</v>
      </c>
      <c r="E621" s="4" t="s">
        <v>43</v>
      </c>
      <c r="F621" s="4" t="s">
        <v>48</v>
      </c>
      <c r="G621" s="4">
        <v>1987</v>
      </c>
      <c r="H621" s="4" t="s">
        <v>22</v>
      </c>
      <c r="I621" s="5">
        <v>0.96</v>
      </c>
      <c r="J621" s="3">
        <v>1160</v>
      </c>
      <c r="K621" s="3">
        <f t="shared" si="48"/>
        <v>1208.3333333333335</v>
      </c>
      <c r="L621" s="3">
        <v>133</v>
      </c>
      <c r="M621" s="5">
        <v>3.3</v>
      </c>
      <c r="N621" s="5">
        <f t="shared" si="49"/>
        <v>3.4375</v>
      </c>
      <c r="O621" s="5">
        <f t="shared" si="50"/>
        <v>5.6896551724137927</v>
      </c>
      <c r="P621" s="8">
        <v>38265</v>
      </c>
      <c r="Q621" s="6">
        <v>25.2</v>
      </c>
      <c r="R621" s="5">
        <v>3.41</v>
      </c>
      <c r="S621" s="6">
        <v>6.9</v>
      </c>
      <c r="T621" s="3"/>
    </row>
    <row r="622" spans="1:20" s="4" customFormat="1" ht="15" customHeight="1" x14ac:dyDescent="0.2">
      <c r="A622" s="4">
        <v>2004</v>
      </c>
      <c r="B622" s="4" t="s">
        <v>91</v>
      </c>
      <c r="C622" s="4">
        <v>3</v>
      </c>
      <c r="D622" s="4">
        <v>8</v>
      </c>
      <c r="E622" s="4" t="s">
        <v>43</v>
      </c>
      <c r="F622" s="4" t="s">
        <v>49</v>
      </c>
      <c r="G622" s="4">
        <v>1975</v>
      </c>
      <c r="H622" s="4" t="s">
        <v>22</v>
      </c>
      <c r="I622" s="5">
        <v>0.54</v>
      </c>
      <c r="J622" s="3">
        <v>219</v>
      </c>
      <c r="K622" s="3">
        <f t="shared" si="48"/>
        <v>405.55555555555554</v>
      </c>
      <c r="L622" s="3"/>
      <c r="M622" s="5">
        <v>1.2</v>
      </c>
      <c r="N622" s="5">
        <f t="shared" si="49"/>
        <v>2.2222222222222219</v>
      </c>
      <c r="O622" s="5">
        <f t="shared" si="50"/>
        <v>10.95890410958904</v>
      </c>
      <c r="P622" s="8">
        <v>38265</v>
      </c>
      <c r="Q622" s="6">
        <v>25.2</v>
      </c>
      <c r="R622" s="5">
        <v>3.41</v>
      </c>
      <c r="S622" s="6">
        <v>6.9</v>
      </c>
      <c r="T622" s="3"/>
    </row>
    <row r="623" spans="1:20" s="4" customFormat="1" ht="15" customHeight="1" x14ac:dyDescent="0.2">
      <c r="A623" s="4">
        <v>2004</v>
      </c>
      <c r="B623" s="4" t="s">
        <v>91</v>
      </c>
      <c r="C623" s="4">
        <v>3</v>
      </c>
      <c r="D623" s="4">
        <v>9</v>
      </c>
      <c r="E623" s="4" t="s">
        <v>43</v>
      </c>
      <c r="F623" s="4" t="s">
        <v>46</v>
      </c>
      <c r="G623" s="4">
        <v>1990</v>
      </c>
      <c r="H623" s="4" t="s">
        <v>22</v>
      </c>
      <c r="I623" s="5">
        <v>0.2</v>
      </c>
      <c r="J623" s="3">
        <v>219</v>
      </c>
      <c r="K623" s="3">
        <f t="shared" si="48"/>
        <v>1095</v>
      </c>
      <c r="L623" s="3">
        <v>133</v>
      </c>
      <c r="M623" s="5"/>
      <c r="N623" s="5"/>
      <c r="O623" s="5"/>
      <c r="P623" s="8">
        <v>38624</v>
      </c>
      <c r="Q623" s="6">
        <v>24</v>
      </c>
      <c r="R623" s="5">
        <v>3.24</v>
      </c>
      <c r="S623" s="6">
        <v>8.6999999999999993</v>
      </c>
      <c r="T623" s="3"/>
    </row>
    <row r="624" spans="1:20" s="4" customFormat="1" ht="15" customHeight="1" x14ac:dyDescent="0.2">
      <c r="A624" s="4">
        <v>2004</v>
      </c>
      <c r="B624" s="4" t="s">
        <v>91</v>
      </c>
      <c r="C624" s="4">
        <v>4</v>
      </c>
      <c r="D624" s="4">
        <v>3</v>
      </c>
      <c r="E624" s="4" t="s">
        <v>43</v>
      </c>
      <c r="F624" s="4" t="s">
        <v>46</v>
      </c>
      <c r="G624" s="4">
        <v>1990</v>
      </c>
      <c r="H624" s="4" t="s">
        <v>22</v>
      </c>
      <c r="I624" s="5">
        <v>2.71</v>
      </c>
      <c r="J624" s="3">
        <v>3279</v>
      </c>
      <c r="K624" s="3">
        <f t="shared" si="48"/>
        <v>1209.9630996309963</v>
      </c>
      <c r="L624" s="3">
        <v>172</v>
      </c>
      <c r="M624" s="5">
        <v>10.3</v>
      </c>
      <c r="N624" s="5">
        <f t="shared" ref="N624:N634" si="51">SUM(M624)/I624</f>
        <v>3.8007380073800743</v>
      </c>
      <c r="O624" s="5">
        <f t="shared" ref="O624:O655" si="52">SUM(M624*2000)/J624</f>
        <v>6.2824031716986886</v>
      </c>
      <c r="P624" s="8">
        <v>38264</v>
      </c>
      <c r="Q624" s="6">
        <v>25</v>
      </c>
      <c r="R624" s="5">
        <v>3.53</v>
      </c>
      <c r="S624" s="6">
        <v>7.7</v>
      </c>
      <c r="T624" s="3"/>
    </row>
    <row r="625" spans="1:20" s="4" customFormat="1" ht="15" customHeight="1" x14ac:dyDescent="0.2">
      <c r="A625" s="4">
        <v>2004</v>
      </c>
      <c r="B625" s="4" t="s">
        <v>91</v>
      </c>
      <c r="C625" s="4">
        <v>4</v>
      </c>
      <c r="D625" s="4">
        <v>10</v>
      </c>
      <c r="E625" s="4" t="s">
        <v>43</v>
      </c>
      <c r="F625" s="4" t="s">
        <v>46</v>
      </c>
      <c r="G625" s="4">
        <v>1990</v>
      </c>
      <c r="H625" s="4" t="s">
        <v>53</v>
      </c>
      <c r="I625" s="5">
        <v>1.73</v>
      </c>
      <c r="J625" s="3">
        <v>2093</v>
      </c>
      <c r="K625" s="3">
        <f t="shared" si="48"/>
        <v>1209.8265895953757</v>
      </c>
      <c r="L625" s="4">
        <v>195</v>
      </c>
      <c r="M625" s="5">
        <v>7.4</v>
      </c>
      <c r="N625" s="5">
        <f t="shared" si="51"/>
        <v>4.2774566473988438</v>
      </c>
      <c r="O625" s="5">
        <f t="shared" si="52"/>
        <v>7.0711896798853324</v>
      </c>
      <c r="P625" s="8">
        <v>38259</v>
      </c>
      <c r="Q625" s="6">
        <v>24.6</v>
      </c>
      <c r="R625" s="5">
        <v>3.54</v>
      </c>
      <c r="S625" s="6">
        <v>7.9</v>
      </c>
      <c r="T625" s="3"/>
    </row>
    <row r="626" spans="1:20" s="4" customFormat="1" ht="15" customHeight="1" x14ac:dyDescent="0.2">
      <c r="A626" s="4">
        <v>2004</v>
      </c>
      <c r="B626" s="4" t="s">
        <v>91</v>
      </c>
      <c r="C626" s="4">
        <v>5</v>
      </c>
      <c r="D626" s="4">
        <v>5</v>
      </c>
      <c r="E626" s="4" t="s">
        <v>43</v>
      </c>
      <c r="F626" s="4">
        <v>115</v>
      </c>
      <c r="G626" s="4">
        <v>1997</v>
      </c>
      <c r="H626" s="4" t="s">
        <v>54</v>
      </c>
      <c r="I626" s="5">
        <v>1.43</v>
      </c>
      <c r="J626" s="3">
        <v>2450</v>
      </c>
      <c r="K626" s="3">
        <f t="shared" si="48"/>
        <v>1713.2867132867134</v>
      </c>
      <c r="L626" s="4">
        <v>198</v>
      </c>
      <c r="M626" s="5">
        <v>5.0999999999999996</v>
      </c>
      <c r="N626" s="5">
        <f t="shared" si="51"/>
        <v>3.5664335664335662</v>
      </c>
      <c r="O626" s="5">
        <f t="shared" si="52"/>
        <v>4.1632653061224492</v>
      </c>
      <c r="P626" s="8">
        <v>38266</v>
      </c>
      <c r="Q626" s="6">
        <v>24</v>
      </c>
      <c r="R626" s="5">
        <v>3.54</v>
      </c>
      <c r="S626" s="6">
        <v>5.0999999999999996</v>
      </c>
      <c r="T626" s="3"/>
    </row>
    <row r="627" spans="1:20" s="4" customFormat="1" ht="15" customHeight="1" x14ac:dyDescent="0.2">
      <c r="A627" s="4">
        <v>2004</v>
      </c>
      <c r="B627" s="4" t="s">
        <v>91</v>
      </c>
      <c r="C627" s="4">
        <v>5</v>
      </c>
      <c r="D627" s="4">
        <v>6</v>
      </c>
      <c r="E627" s="4" t="s">
        <v>43</v>
      </c>
      <c r="F627" s="4">
        <v>777</v>
      </c>
      <c r="G627" s="4">
        <v>1997</v>
      </c>
      <c r="H627" s="4" t="s">
        <v>54</v>
      </c>
      <c r="I627" s="5">
        <v>1.87</v>
      </c>
      <c r="J627" s="3">
        <v>3200</v>
      </c>
      <c r="K627" s="3">
        <f t="shared" si="48"/>
        <v>1711.229946524064</v>
      </c>
      <c r="L627" s="3">
        <v>156</v>
      </c>
      <c r="M627" s="5">
        <v>7.2</v>
      </c>
      <c r="N627" s="5">
        <f t="shared" si="51"/>
        <v>3.8502673796791442</v>
      </c>
      <c r="O627" s="5">
        <f t="shared" si="52"/>
        <v>4.5</v>
      </c>
      <c r="P627" s="8">
        <v>38266</v>
      </c>
      <c r="Q627" s="6">
        <v>23.2</v>
      </c>
      <c r="R627" s="5">
        <v>3.55</v>
      </c>
      <c r="S627" s="6">
        <v>5.0999999999999996</v>
      </c>
      <c r="T627" s="3"/>
    </row>
    <row r="628" spans="1:20" s="4" customFormat="1" ht="15" customHeight="1" x14ac:dyDescent="0.2">
      <c r="A628" s="4">
        <v>2005</v>
      </c>
      <c r="B628" s="4" t="s">
        <v>91</v>
      </c>
      <c r="C628" s="4">
        <v>3</v>
      </c>
      <c r="D628" s="4">
        <v>3</v>
      </c>
      <c r="E628" s="4" t="s">
        <v>43</v>
      </c>
      <c r="F628" s="4">
        <v>667</v>
      </c>
      <c r="G628" s="4">
        <v>1996</v>
      </c>
      <c r="H628" s="4" t="s">
        <v>45</v>
      </c>
      <c r="I628" s="5">
        <v>2.4700000000000002</v>
      </c>
      <c r="J628" s="3">
        <v>5000</v>
      </c>
      <c r="K628" s="3">
        <f t="shared" si="48"/>
        <v>2024.2914979757084</v>
      </c>
      <c r="L628" s="3">
        <v>147</v>
      </c>
      <c r="M628" s="5">
        <v>8.3000000000000007</v>
      </c>
      <c r="N628" s="5">
        <f t="shared" si="51"/>
        <v>3.3603238866396761</v>
      </c>
      <c r="O628" s="5">
        <f t="shared" si="52"/>
        <v>3.32</v>
      </c>
      <c r="P628" s="8">
        <v>38260</v>
      </c>
      <c r="Q628" s="6">
        <v>24.3</v>
      </c>
      <c r="R628" s="5">
        <v>3.25</v>
      </c>
      <c r="S628" s="6">
        <v>8.6999999999999993</v>
      </c>
      <c r="T628" s="3"/>
    </row>
    <row r="629" spans="1:20" s="4" customFormat="1" ht="15" customHeight="1" x14ac:dyDescent="0.2">
      <c r="A629" s="4">
        <v>2005</v>
      </c>
      <c r="B629" s="4" t="s">
        <v>91</v>
      </c>
      <c r="C629" s="4">
        <v>3</v>
      </c>
      <c r="D629" s="4">
        <v>5</v>
      </c>
      <c r="E629" s="4" t="s">
        <v>43</v>
      </c>
      <c r="F629" s="4" t="s">
        <v>46</v>
      </c>
      <c r="G629" s="4">
        <v>1990</v>
      </c>
      <c r="H629" s="4" t="s">
        <v>22</v>
      </c>
      <c r="I629" s="5">
        <v>0.91</v>
      </c>
      <c r="J629" s="3">
        <v>1013</v>
      </c>
      <c r="K629" s="3">
        <f t="shared" si="48"/>
        <v>1113.1868131868132</v>
      </c>
      <c r="L629" s="3">
        <v>139</v>
      </c>
      <c r="M629" s="5">
        <v>2.6</v>
      </c>
      <c r="N629" s="5">
        <f t="shared" si="51"/>
        <v>2.8571428571428572</v>
      </c>
      <c r="O629" s="5">
        <f t="shared" si="52"/>
        <v>5.1332675222112538</v>
      </c>
      <c r="P629" s="8">
        <v>38624</v>
      </c>
      <c r="Q629" s="6">
        <v>24</v>
      </c>
      <c r="R629" s="5">
        <v>3.24</v>
      </c>
      <c r="S629" s="6">
        <v>8.6999999999999993</v>
      </c>
      <c r="T629" s="3"/>
    </row>
    <row r="630" spans="1:20" s="4" customFormat="1" ht="15" customHeight="1" x14ac:dyDescent="0.2">
      <c r="A630" s="4">
        <v>2005</v>
      </c>
      <c r="B630" s="4" t="s">
        <v>91</v>
      </c>
      <c r="C630" s="4">
        <v>3</v>
      </c>
      <c r="D630" s="4">
        <v>6</v>
      </c>
      <c r="E630" s="4" t="s">
        <v>43</v>
      </c>
      <c r="F630" s="4" t="s">
        <v>47</v>
      </c>
      <c r="G630" s="4">
        <v>1987</v>
      </c>
      <c r="H630" s="4" t="s">
        <v>22</v>
      </c>
      <c r="I630" s="5">
        <v>0.5</v>
      </c>
      <c r="J630" s="3">
        <v>600</v>
      </c>
      <c r="K630" s="3">
        <f t="shared" si="48"/>
        <v>1200</v>
      </c>
      <c r="L630" s="3">
        <v>132</v>
      </c>
      <c r="M630" s="5">
        <v>2</v>
      </c>
      <c r="N630" s="5">
        <f t="shared" si="51"/>
        <v>4</v>
      </c>
      <c r="O630" s="5">
        <f t="shared" si="52"/>
        <v>6.666666666666667</v>
      </c>
      <c r="P630" s="8">
        <v>38638</v>
      </c>
      <c r="Q630" s="6">
        <v>25</v>
      </c>
      <c r="R630" s="5">
        <v>3.4</v>
      </c>
      <c r="S630" s="6">
        <v>6.4</v>
      </c>
      <c r="T630" s="3"/>
    </row>
    <row r="631" spans="1:20" s="4" customFormat="1" ht="15" customHeight="1" x14ac:dyDescent="0.2">
      <c r="A631" s="4">
        <v>2005</v>
      </c>
      <c r="B631" s="4" t="s">
        <v>91</v>
      </c>
      <c r="C631" s="4">
        <v>3</v>
      </c>
      <c r="D631" s="4">
        <v>7</v>
      </c>
      <c r="E631" s="4" t="s">
        <v>43</v>
      </c>
      <c r="F631" s="4" t="s">
        <v>48</v>
      </c>
      <c r="G631" s="4">
        <v>1987</v>
      </c>
      <c r="H631" s="4" t="s">
        <v>22</v>
      </c>
      <c r="I631" s="5">
        <v>0.96</v>
      </c>
      <c r="J631" s="3">
        <v>1160</v>
      </c>
      <c r="K631" s="3">
        <f t="shared" si="48"/>
        <v>1208.3333333333335</v>
      </c>
      <c r="L631" s="3">
        <v>170</v>
      </c>
      <c r="M631" s="5">
        <v>3.3</v>
      </c>
      <c r="N631" s="5">
        <f t="shared" si="51"/>
        <v>3.4375</v>
      </c>
      <c r="O631" s="5">
        <f t="shared" si="52"/>
        <v>5.6896551724137927</v>
      </c>
      <c r="P631" s="8">
        <v>38624</v>
      </c>
      <c r="Q631" s="6">
        <v>24</v>
      </c>
      <c r="R631" s="5">
        <v>3.24</v>
      </c>
      <c r="S631" s="6">
        <v>8.6999999999999993</v>
      </c>
      <c r="T631" s="3"/>
    </row>
    <row r="632" spans="1:20" s="4" customFormat="1" ht="15" customHeight="1" x14ac:dyDescent="0.2">
      <c r="A632" s="4">
        <v>2005</v>
      </c>
      <c r="B632" s="4" t="s">
        <v>91</v>
      </c>
      <c r="C632" s="4">
        <v>3</v>
      </c>
      <c r="D632" s="4">
        <v>8</v>
      </c>
      <c r="E632" s="4" t="s">
        <v>43</v>
      </c>
      <c r="F632" s="4" t="s">
        <v>49</v>
      </c>
      <c r="G632" s="4">
        <v>1975</v>
      </c>
      <c r="H632" s="4" t="s">
        <v>22</v>
      </c>
      <c r="I632" s="5">
        <v>0.54</v>
      </c>
      <c r="J632" s="3">
        <v>219</v>
      </c>
      <c r="K632" s="3">
        <f t="shared" si="48"/>
        <v>405.55555555555554</v>
      </c>
      <c r="L632" s="3">
        <v>135</v>
      </c>
      <c r="M632" s="5">
        <v>1</v>
      </c>
      <c r="N632" s="5">
        <f t="shared" si="51"/>
        <v>1.8518518518518516</v>
      </c>
      <c r="O632" s="5">
        <f t="shared" si="52"/>
        <v>9.1324200913242013</v>
      </c>
      <c r="P632" s="8">
        <v>38624</v>
      </c>
      <c r="Q632" s="6">
        <v>24</v>
      </c>
      <c r="R632" s="5">
        <v>3.24</v>
      </c>
      <c r="S632" s="6">
        <v>8.6999999999999993</v>
      </c>
      <c r="T632" s="3"/>
    </row>
    <row r="633" spans="1:20" s="4" customFormat="1" ht="15" customHeight="1" x14ac:dyDescent="0.2">
      <c r="A633" s="4">
        <v>2005</v>
      </c>
      <c r="B633" s="4" t="s">
        <v>91</v>
      </c>
      <c r="C633" s="4">
        <v>4</v>
      </c>
      <c r="D633" s="4">
        <v>3</v>
      </c>
      <c r="E633" s="4" t="s">
        <v>43</v>
      </c>
      <c r="F633" s="4" t="s">
        <v>46</v>
      </c>
      <c r="G633" s="4">
        <v>1990</v>
      </c>
      <c r="H633" s="4" t="s">
        <v>22</v>
      </c>
      <c r="I633" s="5">
        <v>2.71</v>
      </c>
      <c r="J633" s="3">
        <v>3279</v>
      </c>
      <c r="K633" s="3">
        <f t="shared" si="48"/>
        <v>1209.9630996309963</v>
      </c>
      <c r="L633" s="3">
        <v>140</v>
      </c>
      <c r="M633" s="5">
        <v>6</v>
      </c>
      <c r="N633" s="5">
        <f t="shared" si="51"/>
        <v>2.2140221402214024</v>
      </c>
      <c r="O633" s="5">
        <f t="shared" si="52"/>
        <v>3.6596523330283621</v>
      </c>
      <c r="P633" s="8">
        <v>38628</v>
      </c>
      <c r="Q633" s="6">
        <v>25</v>
      </c>
      <c r="R633" s="5">
        <v>3.29</v>
      </c>
      <c r="S633" s="6">
        <v>6.3</v>
      </c>
      <c r="T633" s="3"/>
    </row>
    <row r="634" spans="1:20" s="4" customFormat="1" ht="15" customHeight="1" x14ac:dyDescent="0.2">
      <c r="A634" s="4">
        <v>2005</v>
      </c>
      <c r="B634" s="4" t="s">
        <v>91</v>
      </c>
      <c r="C634" s="4">
        <v>4</v>
      </c>
      <c r="D634" s="4">
        <v>10</v>
      </c>
      <c r="E634" s="4" t="s">
        <v>43</v>
      </c>
      <c r="F634" s="4" t="s">
        <v>46</v>
      </c>
      <c r="G634" s="4">
        <v>1990</v>
      </c>
      <c r="H634" s="4" t="s">
        <v>53</v>
      </c>
      <c r="I634" s="5">
        <v>1.73</v>
      </c>
      <c r="J634" s="3">
        <v>2093</v>
      </c>
      <c r="K634" s="3">
        <f t="shared" si="48"/>
        <v>1209.8265895953757</v>
      </c>
      <c r="L634" s="4">
        <v>137</v>
      </c>
      <c r="M634" s="5">
        <v>5.7</v>
      </c>
      <c r="N634" s="5">
        <f t="shared" si="51"/>
        <v>3.2947976878612719</v>
      </c>
      <c r="O634" s="5">
        <f t="shared" si="52"/>
        <v>5.4467271858576209</v>
      </c>
      <c r="P634" s="8">
        <v>38259</v>
      </c>
      <c r="Q634" s="6">
        <v>24.3</v>
      </c>
      <c r="R634" s="5">
        <v>3.34</v>
      </c>
      <c r="S634" s="6">
        <v>8.4</v>
      </c>
      <c r="T634" s="3"/>
    </row>
    <row r="635" spans="1:20" s="4" customFormat="1" ht="15" customHeight="1" x14ac:dyDescent="0.2">
      <c r="A635" s="4">
        <v>2005</v>
      </c>
      <c r="B635" s="4" t="s">
        <v>91</v>
      </c>
      <c r="C635" s="4">
        <v>4</v>
      </c>
      <c r="D635" s="4">
        <v>11</v>
      </c>
      <c r="E635" s="4" t="s">
        <v>43</v>
      </c>
      <c r="F635" s="4">
        <v>115</v>
      </c>
      <c r="G635" s="4">
        <v>2003</v>
      </c>
      <c r="H635" s="4" t="s">
        <v>34</v>
      </c>
      <c r="I635" s="5">
        <v>1.46</v>
      </c>
      <c r="J635" s="3">
        <v>2600</v>
      </c>
      <c r="K635" s="3">
        <v>1780</v>
      </c>
      <c r="L635" s="4">
        <v>130</v>
      </c>
      <c r="M635" s="5">
        <v>2.4</v>
      </c>
      <c r="N635" s="5">
        <f>SUM(M635/I635)</f>
        <v>1.6438356164383561</v>
      </c>
      <c r="O635" s="5">
        <f t="shared" si="52"/>
        <v>1.8461538461538463</v>
      </c>
      <c r="P635" s="8">
        <v>38259</v>
      </c>
      <c r="Q635" s="6">
        <v>25.2</v>
      </c>
      <c r="R635" s="5">
        <v>3.59</v>
      </c>
      <c r="S635" s="6">
        <v>8.9</v>
      </c>
      <c r="T635" s="3"/>
    </row>
    <row r="636" spans="1:20" s="4" customFormat="1" ht="15" customHeight="1" x14ac:dyDescent="0.2">
      <c r="A636" s="4">
        <v>2005</v>
      </c>
      <c r="B636" s="4" t="s">
        <v>91</v>
      </c>
      <c r="C636" s="4">
        <v>5</v>
      </c>
      <c r="D636" s="4">
        <v>5</v>
      </c>
      <c r="E636" s="4" t="s">
        <v>43</v>
      </c>
      <c r="F636" s="4">
        <v>115</v>
      </c>
      <c r="G636" s="4">
        <v>1997</v>
      </c>
      <c r="H636" s="4" t="s">
        <v>54</v>
      </c>
      <c r="I636" s="5">
        <v>1.43</v>
      </c>
      <c r="J636" s="3">
        <v>2450</v>
      </c>
      <c r="K636" s="3">
        <f>SUM(J636/I636)</f>
        <v>1713.2867132867134</v>
      </c>
      <c r="L636" s="4">
        <v>120</v>
      </c>
      <c r="M636" s="5">
        <v>5.4</v>
      </c>
      <c r="N636" s="5">
        <f>SUM(M636)/I636</f>
        <v>3.7762237762237767</v>
      </c>
      <c r="O636" s="5">
        <f t="shared" si="52"/>
        <v>4.408163265306122</v>
      </c>
      <c r="P636" s="8">
        <v>38638</v>
      </c>
      <c r="Q636" s="6">
        <v>24</v>
      </c>
      <c r="R636" s="5">
        <v>3.45</v>
      </c>
      <c r="S636" s="6">
        <v>5.5</v>
      </c>
      <c r="T636" s="3"/>
    </row>
    <row r="637" spans="1:20" s="4" customFormat="1" ht="15" customHeight="1" x14ac:dyDescent="0.2">
      <c r="A637" s="4">
        <v>2005</v>
      </c>
      <c r="B637" s="4" t="s">
        <v>91</v>
      </c>
      <c r="C637" s="4">
        <v>5</v>
      </c>
      <c r="D637" s="4">
        <v>6</v>
      </c>
      <c r="E637" s="4" t="s">
        <v>43</v>
      </c>
      <c r="F637" s="4">
        <v>777</v>
      </c>
      <c r="G637" s="4">
        <v>1997</v>
      </c>
      <c r="H637" s="4" t="s">
        <v>54</v>
      </c>
      <c r="I637" s="5">
        <v>1.87</v>
      </c>
      <c r="J637" s="3">
        <v>3200</v>
      </c>
      <c r="K637" s="3">
        <f>SUM(J637/I637)</f>
        <v>1711.229946524064</v>
      </c>
      <c r="L637" s="3">
        <v>120</v>
      </c>
      <c r="M637" s="5">
        <v>7.2</v>
      </c>
      <c r="N637" s="5">
        <f>SUM(M637)/I637</f>
        <v>3.8502673796791442</v>
      </c>
      <c r="O637" s="5">
        <f t="shared" si="52"/>
        <v>4.5</v>
      </c>
      <c r="P637" s="8">
        <v>38638</v>
      </c>
      <c r="Q637" s="6">
        <v>24.4</v>
      </c>
      <c r="R637" s="5">
        <v>3.43</v>
      </c>
      <c r="S637" s="6">
        <v>5.8</v>
      </c>
      <c r="T637" s="3"/>
    </row>
    <row r="638" spans="1:20" s="4" customFormat="1" ht="15" customHeight="1" x14ac:dyDescent="0.2">
      <c r="A638" s="4">
        <v>2006</v>
      </c>
      <c r="B638" s="4" t="s">
        <v>91</v>
      </c>
      <c r="C638" s="4">
        <v>3</v>
      </c>
      <c r="D638" s="4">
        <v>1</v>
      </c>
      <c r="E638" s="4" t="s">
        <v>43</v>
      </c>
      <c r="F638" s="4">
        <v>777</v>
      </c>
      <c r="G638" s="4">
        <v>2005</v>
      </c>
      <c r="H638" s="4" t="s">
        <v>44</v>
      </c>
      <c r="I638" s="5">
        <v>1.79</v>
      </c>
      <c r="J638" s="3">
        <v>2895</v>
      </c>
      <c r="K638" s="3">
        <v>1617</v>
      </c>
      <c r="L638" s="4">
        <v>150</v>
      </c>
      <c r="M638" s="5">
        <v>4.9000000000000004</v>
      </c>
      <c r="N638" s="5">
        <f>SUM(M638/I638)</f>
        <v>2.7374301675977657</v>
      </c>
      <c r="O638" s="5">
        <f t="shared" si="52"/>
        <v>3.3851468048359239</v>
      </c>
      <c r="P638" s="8">
        <v>38259</v>
      </c>
      <c r="Q638" s="6">
        <v>22.4</v>
      </c>
      <c r="R638" s="5">
        <v>3.44</v>
      </c>
      <c r="S638" s="6">
        <v>8.3000000000000007</v>
      </c>
      <c r="T638" s="3"/>
    </row>
    <row r="639" spans="1:20" s="4" customFormat="1" ht="15" customHeight="1" x14ac:dyDescent="0.2">
      <c r="A639" s="4">
        <v>2006</v>
      </c>
      <c r="B639" s="4" t="s">
        <v>91</v>
      </c>
      <c r="C639" s="4">
        <v>3</v>
      </c>
      <c r="D639" s="4">
        <v>3</v>
      </c>
      <c r="E639" s="4" t="s">
        <v>43</v>
      </c>
      <c r="F639" s="4">
        <v>667</v>
      </c>
      <c r="G639" s="4">
        <v>1996</v>
      </c>
      <c r="H639" s="4" t="s">
        <v>45</v>
      </c>
      <c r="I639" s="5">
        <v>2.4700000000000002</v>
      </c>
      <c r="J639" s="3">
        <v>5000</v>
      </c>
      <c r="K639" s="3">
        <f>SUM(J639/I639)</f>
        <v>2024.2914979757084</v>
      </c>
      <c r="L639" s="3">
        <v>176</v>
      </c>
      <c r="M639" s="5">
        <v>13.9</v>
      </c>
      <c r="N639" s="5">
        <f>SUM(M639)/I639</f>
        <v>5.6275303643724692</v>
      </c>
      <c r="O639" s="5">
        <f t="shared" si="52"/>
        <v>5.56</v>
      </c>
      <c r="P639" s="8">
        <v>38994</v>
      </c>
      <c r="Q639" s="6">
        <v>23.4</v>
      </c>
      <c r="R639" s="5">
        <v>3.6</v>
      </c>
      <c r="S639" s="6">
        <v>5.5</v>
      </c>
      <c r="T639" s="3"/>
    </row>
    <row r="640" spans="1:20" s="4" customFormat="1" ht="15" customHeight="1" x14ac:dyDescent="0.2">
      <c r="A640" s="4">
        <v>2006</v>
      </c>
      <c r="B640" s="4" t="s">
        <v>91</v>
      </c>
      <c r="C640" s="4">
        <v>3</v>
      </c>
      <c r="D640" s="4">
        <v>5</v>
      </c>
      <c r="E640" s="4" t="s">
        <v>43</v>
      </c>
      <c r="F640" s="4" t="s">
        <v>46</v>
      </c>
      <c r="G640" s="4">
        <v>1990</v>
      </c>
      <c r="H640" s="4" t="s">
        <v>22</v>
      </c>
      <c r="I640" s="5">
        <v>0.91</v>
      </c>
      <c r="J640" s="3">
        <v>1013</v>
      </c>
      <c r="K640" s="3">
        <f>SUM(J640/I640)</f>
        <v>1113.1868131868132</v>
      </c>
      <c r="L640" s="3">
        <v>220</v>
      </c>
      <c r="M640" s="5">
        <v>6.2</v>
      </c>
      <c r="N640" s="5">
        <f>SUM(M640)/I640</f>
        <v>6.813186813186813</v>
      </c>
      <c r="O640" s="5">
        <f t="shared" si="52"/>
        <v>12.240868706811451</v>
      </c>
      <c r="P640" s="8">
        <v>38995</v>
      </c>
      <c r="Q640" s="6">
        <v>22.8</v>
      </c>
      <c r="R640" s="5">
        <v>3.3</v>
      </c>
      <c r="S640" s="6">
        <v>6.9</v>
      </c>
      <c r="T640" s="3"/>
    </row>
    <row r="641" spans="1:20" s="4" customFormat="1" ht="15" customHeight="1" x14ac:dyDescent="0.2">
      <c r="A641" s="4">
        <v>2006</v>
      </c>
      <c r="B641" s="4" t="s">
        <v>91</v>
      </c>
      <c r="C641" s="4">
        <v>3</v>
      </c>
      <c r="D641" s="4">
        <v>6</v>
      </c>
      <c r="E641" s="4" t="s">
        <v>43</v>
      </c>
      <c r="F641" s="4" t="s">
        <v>47</v>
      </c>
      <c r="G641" s="4">
        <v>1987</v>
      </c>
      <c r="H641" s="4" t="s">
        <v>22</v>
      </c>
      <c r="I641" s="5">
        <v>0.5</v>
      </c>
      <c r="J641" s="3">
        <v>600</v>
      </c>
      <c r="K641" s="3">
        <f>SUM(J641/I641)</f>
        <v>1200</v>
      </c>
      <c r="L641" s="3">
        <v>190</v>
      </c>
      <c r="M641" s="5">
        <v>3</v>
      </c>
      <c r="N641" s="5">
        <f>SUM(M641)/I641</f>
        <v>6</v>
      </c>
      <c r="O641" s="5">
        <f t="shared" si="52"/>
        <v>10</v>
      </c>
      <c r="P641" s="8">
        <v>38995</v>
      </c>
      <c r="Q641" s="6">
        <v>23</v>
      </c>
      <c r="R641" s="5">
        <v>3.44</v>
      </c>
      <c r="S641" s="6">
        <v>7.5</v>
      </c>
      <c r="T641" s="3"/>
    </row>
    <row r="642" spans="1:20" s="4" customFormat="1" ht="15" customHeight="1" x14ac:dyDescent="0.2">
      <c r="A642" s="4">
        <v>2006</v>
      </c>
      <c r="B642" s="4" t="s">
        <v>91</v>
      </c>
      <c r="C642" s="4">
        <v>3</v>
      </c>
      <c r="D642" s="4">
        <v>7</v>
      </c>
      <c r="E642" s="4" t="s">
        <v>43</v>
      </c>
      <c r="F642" s="4" t="s">
        <v>48</v>
      </c>
      <c r="G642" s="4">
        <v>1987</v>
      </c>
      <c r="H642" s="4" t="s">
        <v>22</v>
      </c>
      <c r="I642" s="5">
        <v>0.96</v>
      </c>
      <c r="J642" s="3">
        <v>1160</v>
      </c>
      <c r="K642" s="3">
        <f>SUM(J642/I642)</f>
        <v>1208.3333333333335</v>
      </c>
      <c r="L642" s="3">
        <v>204</v>
      </c>
      <c r="M642" s="5">
        <v>5.2</v>
      </c>
      <c r="N642" s="5">
        <f>SUM(M642)/I642</f>
        <v>5.416666666666667</v>
      </c>
      <c r="O642" s="5">
        <f t="shared" si="52"/>
        <v>8.9655172413793096</v>
      </c>
      <c r="P642" s="8">
        <v>38995</v>
      </c>
      <c r="Q642" s="6">
        <v>23.4</v>
      </c>
      <c r="R642" s="5">
        <v>3.42</v>
      </c>
      <c r="S642" s="6">
        <v>7.5</v>
      </c>
      <c r="T642" s="3"/>
    </row>
    <row r="643" spans="1:20" s="4" customFormat="1" ht="15" customHeight="1" x14ac:dyDescent="0.2">
      <c r="A643" s="4">
        <v>2006</v>
      </c>
      <c r="B643" s="4" t="s">
        <v>91</v>
      </c>
      <c r="C643" s="4">
        <v>3</v>
      </c>
      <c r="D643" s="4">
        <v>8</v>
      </c>
      <c r="E643" s="4" t="s">
        <v>43</v>
      </c>
      <c r="F643" s="4" t="s">
        <v>49</v>
      </c>
      <c r="G643" s="4">
        <v>1975</v>
      </c>
      <c r="H643" s="4" t="s">
        <v>22</v>
      </c>
      <c r="I643" s="5">
        <v>0.54</v>
      </c>
      <c r="J643" s="3">
        <v>219</v>
      </c>
      <c r="K643" s="3">
        <f>SUM(J643/I643)</f>
        <v>405.55555555555554</v>
      </c>
      <c r="L643" s="3">
        <v>180</v>
      </c>
      <c r="M643" s="5">
        <v>1.8</v>
      </c>
      <c r="N643" s="5">
        <f>SUM(M643)/I643</f>
        <v>3.333333333333333</v>
      </c>
      <c r="O643" s="5">
        <f t="shared" si="52"/>
        <v>16.438356164383563</v>
      </c>
      <c r="P643" s="8">
        <v>38995</v>
      </c>
      <c r="Q643" s="6">
        <v>23.4</v>
      </c>
      <c r="R643" s="5">
        <v>3.42</v>
      </c>
      <c r="S643" s="6">
        <v>7.5</v>
      </c>
      <c r="T643" s="3"/>
    </row>
    <row r="644" spans="1:20" s="4" customFormat="1" ht="15" customHeight="1" x14ac:dyDescent="0.2">
      <c r="A644" s="4">
        <v>2006</v>
      </c>
      <c r="B644" s="4" t="s">
        <v>91</v>
      </c>
      <c r="C644" s="4">
        <v>4</v>
      </c>
      <c r="D644" s="4">
        <v>2</v>
      </c>
      <c r="E644" s="4" t="s">
        <v>43</v>
      </c>
      <c r="F644" s="4">
        <v>667</v>
      </c>
      <c r="G644" s="4">
        <v>2005</v>
      </c>
      <c r="H644" s="4" t="s">
        <v>34</v>
      </c>
      <c r="I644" s="5">
        <v>0.9</v>
      </c>
      <c r="J644" s="3">
        <v>1240</v>
      </c>
      <c r="K644" s="3">
        <v>1240</v>
      </c>
      <c r="L644" s="4">
        <v>150</v>
      </c>
      <c r="M644" s="5">
        <v>4.9000000000000004</v>
      </c>
      <c r="N644" s="5">
        <f>SUM(M644/I644)</f>
        <v>5.4444444444444446</v>
      </c>
      <c r="O644" s="5">
        <f t="shared" si="52"/>
        <v>7.903225806451613</v>
      </c>
      <c r="P644" s="8">
        <v>38259</v>
      </c>
      <c r="Q644" s="6">
        <v>22.4</v>
      </c>
      <c r="R644" s="5">
        <v>3.44</v>
      </c>
      <c r="S644" s="6">
        <v>8.3000000000000007</v>
      </c>
      <c r="T644" s="3"/>
    </row>
    <row r="645" spans="1:20" s="4" customFormat="1" ht="15" customHeight="1" x14ac:dyDescent="0.2">
      <c r="A645" s="4">
        <v>2006</v>
      </c>
      <c r="B645" s="4" t="s">
        <v>91</v>
      </c>
      <c r="C645" s="4">
        <v>4</v>
      </c>
      <c r="D645" s="4">
        <v>3</v>
      </c>
      <c r="E645" s="4" t="s">
        <v>43</v>
      </c>
      <c r="F645" s="4" t="s">
        <v>46</v>
      </c>
      <c r="G645" s="4">
        <v>1990</v>
      </c>
      <c r="H645" s="4" t="s">
        <v>22</v>
      </c>
      <c r="I645" s="5">
        <v>2.71</v>
      </c>
      <c r="J645" s="3">
        <v>3279</v>
      </c>
      <c r="K645" s="3">
        <f>SUM(J645/I645)</f>
        <v>1209.9630996309963</v>
      </c>
      <c r="L645" s="3">
        <v>160</v>
      </c>
      <c r="M645" s="5">
        <v>10</v>
      </c>
      <c r="N645" s="5">
        <f>SUM(M645)/I645</f>
        <v>3.6900369003690039</v>
      </c>
      <c r="O645" s="5">
        <f t="shared" si="52"/>
        <v>6.0994205550472707</v>
      </c>
      <c r="P645" s="8">
        <v>38992</v>
      </c>
      <c r="Q645" s="6">
        <v>23.2</v>
      </c>
      <c r="R645" s="5">
        <v>3.35</v>
      </c>
      <c r="S645" s="6">
        <v>7.6</v>
      </c>
      <c r="T645" s="3"/>
    </row>
    <row r="646" spans="1:20" s="4" customFormat="1" ht="15" customHeight="1" x14ac:dyDescent="0.2">
      <c r="A646" s="4">
        <v>2006</v>
      </c>
      <c r="B646" s="4" t="s">
        <v>91</v>
      </c>
      <c r="C646" s="4">
        <v>4</v>
      </c>
      <c r="D646" s="4">
        <v>10</v>
      </c>
      <c r="E646" s="4" t="s">
        <v>43</v>
      </c>
      <c r="F646" s="4" t="s">
        <v>46</v>
      </c>
      <c r="G646" s="4">
        <v>1990</v>
      </c>
      <c r="H646" s="4" t="s">
        <v>53</v>
      </c>
      <c r="I646" s="5">
        <v>1.73</v>
      </c>
      <c r="J646" s="3">
        <v>2093</v>
      </c>
      <c r="K646" s="3">
        <f>SUM(J646/I646)</f>
        <v>1209.8265895953757</v>
      </c>
      <c r="L646" s="4">
        <v>130</v>
      </c>
      <c r="M646" s="5">
        <v>8.4</v>
      </c>
      <c r="N646" s="5">
        <f>SUM(M646)/I646</f>
        <v>4.8554913294797695</v>
      </c>
      <c r="O646" s="5">
        <f t="shared" si="52"/>
        <v>8.0267558528428093</v>
      </c>
      <c r="P646" s="8">
        <v>38993</v>
      </c>
      <c r="Q646" s="6">
        <v>24</v>
      </c>
      <c r="R646" s="5">
        <v>3.58</v>
      </c>
      <c r="S646" s="6">
        <v>6.26</v>
      </c>
      <c r="T646" s="3"/>
    </row>
    <row r="647" spans="1:20" s="4" customFormat="1" ht="15" customHeight="1" x14ac:dyDescent="0.2">
      <c r="A647" s="4">
        <v>2006</v>
      </c>
      <c r="B647" s="4" t="s">
        <v>91</v>
      </c>
      <c r="C647" s="4">
        <v>4</v>
      </c>
      <c r="D647" s="4">
        <v>11</v>
      </c>
      <c r="E647" s="4" t="s">
        <v>43</v>
      </c>
      <c r="F647" s="4">
        <v>115</v>
      </c>
      <c r="G647" s="4">
        <v>2003</v>
      </c>
      <c r="H647" s="4" t="s">
        <v>34</v>
      </c>
      <c r="I647" s="5">
        <v>1.46</v>
      </c>
      <c r="J647" s="3">
        <v>2600</v>
      </c>
      <c r="K647" s="3">
        <v>1780</v>
      </c>
      <c r="L647" s="4">
        <v>150</v>
      </c>
      <c r="M647" s="5">
        <v>4.9000000000000004</v>
      </c>
      <c r="N647" s="5">
        <f>SUM(M647/I647)</f>
        <v>3.3561643835616444</v>
      </c>
      <c r="O647" s="5">
        <f t="shared" si="52"/>
        <v>3.7692307692307692</v>
      </c>
      <c r="P647" s="8">
        <v>38259</v>
      </c>
      <c r="Q647" s="6">
        <v>22.4</v>
      </c>
      <c r="R647" s="5">
        <v>3.44</v>
      </c>
      <c r="S647" s="6">
        <v>8.3000000000000007</v>
      </c>
      <c r="T647" s="3"/>
    </row>
    <row r="648" spans="1:20" s="4" customFormat="1" ht="15" customHeight="1" x14ac:dyDescent="0.2">
      <c r="A648" s="4">
        <v>2006</v>
      </c>
      <c r="B648" s="4" t="s">
        <v>91</v>
      </c>
      <c r="C648" s="4">
        <v>5</v>
      </c>
      <c r="D648" s="4">
        <v>5</v>
      </c>
      <c r="E648" s="4" t="s">
        <v>43</v>
      </c>
      <c r="F648" s="4">
        <v>115</v>
      </c>
      <c r="G648" s="4">
        <v>1997</v>
      </c>
      <c r="H648" s="4" t="s">
        <v>54</v>
      </c>
      <c r="I648" s="5">
        <v>1.43</v>
      </c>
      <c r="J648" s="3">
        <v>2450</v>
      </c>
      <c r="K648" s="3">
        <f>SUM(J648/I648)</f>
        <v>1713.2867132867134</v>
      </c>
      <c r="L648" s="4">
        <v>187</v>
      </c>
      <c r="M648" s="5">
        <v>5.8</v>
      </c>
      <c r="N648" s="5">
        <f>SUM(M648)/I648</f>
        <v>4.0559440559440558</v>
      </c>
      <c r="O648" s="5">
        <f t="shared" si="52"/>
        <v>4.7346938775510203</v>
      </c>
      <c r="P648" s="8">
        <v>39000</v>
      </c>
      <c r="Q648" s="6">
        <v>25</v>
      </c>
      <c r="R648" s="5">
        <v>3.7</v>
      </c>
      <c r="S648" s="6">
        <v>5.0999999999999996</v>
      </c>
      <c r="T648" s="3"/>
    </row>
    <row r="649" spans="1:20" s="4" customFormat="1" ht="15" customHeight="1" x14ac:dyDescent="0.2">
      <c r="A649" s="4">
        <v>2006</v>
      </c>
      <c r="B649" s="4" t="s">
        <v>91</v>
      </c>
      <c r="C649" s="4">
        <v>5</v>
      </c>
      <c r="D649" s="4">
        <v>6</v>
      </c>
      <c r="E649" s="4" t="s">
        <v>43</v>
      </c>
      <c r="F649" s="4">
        <v>777</v>
      </c>
      <c r="G649" s="4">
        <v>1997</v>
      </c>
      <c r="H649" s="4" t="s">
        <v>54</v>
      </c>
      <c r="I649" s="5">
        <v>1.87</v>
      </c>
      <c r="J649" s="3">
        <v>3200</v>
      </c>
      <c r="K649" s="3">
        <f>SUM(J649/I649)</f>
        <v>1711.229946524064</v>
      </c>
      <c r="L649" s="3">
        <v>144</v>
      </c>
      <c r="M649" s="5">
        <v>7.5</v>
      </c>
      <c r="N649" s="5">
        <f>SUM(M649)/I649</f>
        <v>4.0106951871657754</v>
      </c>
      <c r="O649" s="5">
        <f t="shared" si="52"/>
        <v>4.6875</v>
      </c>
      <c r="P649" s="8">
        <v>39000</v>
      </c>
      <c r="Q649" s="6">
        <v>25</v>
      </c>
      <c r="R649" s="5">
        <v>3.6</v>
      </c>
      <c r="S649" s="6">
        <v>8.1</v>
      </c>
      <c r="T649" s="3"/>
    </row>
    <row r="650" spans="1:20" s="4" customFormat="1" ht="15" customHeight="1" x14ac:dyDescent="0.2">
      <c r="A650" s="4">
        <v>2007</v>
      </c>
      <c r="B650" s="4" t="s">
        <v>91</v>
      </c>
      <c r="C650" s="4">
        <v>3</v>
      </c>
      <c r="D650" s="4">
        <v>1</v>
      </c>
      <c r="E650" s="4" t="s">
        <v>43</v>
      </c>
      <c r="F650" s="4">
        <v>777</v>
      </c>
      <c r="G650" s="4">
        <v>2005</v>
      </c>
      <c r="H650" s="4" t="s">
        <v>44</v>
      </c>
      <c r="I650" s="5">
        <v>1.79</v>
      </c>
      <c r="J650" s="3">
        <v>2895</v>
      </c>
      <c r="K650" s="3">
        <v>1617</v>
      </c>
      <c r="L650" s="4">
        <v>112</v>
      </c>
      <c r="M650" s="5">
        <v>2.4</v>
      </c>
      <c r="N650" s="5">
        <f>SUM(M650/I650)</f>
        <v>1.3407821229050279</v>
      </c>
      <c r="O650" s="5">
        <f t="shared" si="52"/>
        <v>1.6580310880829014</v>
      </c>
      <c r="P650" s="8">
        <v>39353</v>
      </c>
      <c r="Q650" s="6">
        <v>24</v>
      </c>
      <c r="R650" s="5">
        <v>3.43</v>
      </c>
      <c r="S650" s="6">
        <v>5.9</v>
      </c>
      <c r="T650" s="3"/>
    </row>
    <row r="651" spans="1:20" s="4" customFormat="1" ht="15" customHeight="1" x14ac:dyDescent="0.2">
      <c r="A651" s="4">
        <v>2007</v>
      </c>
      <c r="B651" s="4" t="s">
        <v>91</v>
      </c>
      <c r="C651" s="4">
        <v>3</v>
      </c>
      <c r="D651" s="4">
        <v>3</v>
      </c>
      <c r="E651" s="4" t="s">
        <v>43</v>
      </c>
      <c r="F651" s="4">
        <v>667</v>
      </c>
      <c r="G651" s="4">
        <v>1996</v>
      </c>
      <c r="H651" s="4" t="s">
        <v>45</v>
      </c>
      <c r="I651" s="5">
        <v>2.4700000000000002</v>
      </c>
      <c r="J651" s="3">
        <v>5000</v>
      </c>
      <c r="K651" s="3">
        <f>SUM(J651/I651)</f>
        <v>2024.2914979757084</v>
      </c>
      <c r="L651" s="3">
        <v>150</v>
      </c>
      <c r="M651" s="5">
        <v>13.3</v>
      </c>
      <c r="N651" s="5">
        <f>SUM(M651)/I651</f>
        <v>5.3846153846153841</v>
      </c>
      <c r="O651" s="5">
        <f t="shared" si="52"/>
        <v>5.32</v>
      </c>
      <c r="P651" s="8">
        <v>39359</v>
      </c>
      <c r="Q651" s="6">
        <v>22.8</v>
      </c>
      <c r="R651" s="5">
        <v>3.25</v>
      </c>
      <c r="S651" s="6">
        <v>8.5</v>
      </c>
      <c r="T651" s="3"/>
    </row>
    <row r="652" spans="1:20" s="4" customFormat="1" ht="15" customHeight="1" x14ac:dyDescent="0.2">
      <c r="A652" s="4">
        <v>2007</v>
      </c>
      <c r="B652" s="4" t="s">
        <v>91</v>
      </c>
      <c r="C652" s="4">
        <v>3</v>
      </c>
      <c r="D652" s="4">
        <v>5</v>
      </c>
      <c r="E652" s="4" t="s">
        <v>43</v>
      </c>
      <c r="F652" s="4" t="s">
        <v>46</v>
      </c>
      <c r="G652" s="4">
        <v>1990</v>
      </c>
      <c r="H652" s="4" t="s">
        <v>22</v>
      </c>
      <c r="I652" s="5">
        <v>0.91</v>
      </c>
      <c r="J652" s="3">
        <v>1013</v>
      </c>
      <c r="K652" s="3">
        <f>SUM(J652/I652)</f>
        <v>1113.1868131868132</v>
      </c>
      <c r="L652" s="3">
        <v>225</v>
      </c>
      <c r="M652" s="5">
        <v>5.6</v>
      </c>
      <c r="N652" s="5">
        <f>SUM(M652)/I652</f>
        <v>6.1538461538461533</v>
      </c>
      <c r="O652" s="5">
        <f t="shared" si="52"/>
        <v>11.056268509378086</v>
      </c>
      <c r="P652" s="8">
        <v>39364</v>
      </c>
      <c r="Q652" s="6">
        <v>23.4</v>
      </c>
      <c r="R652" s="5">
        <v>3.41</v>
      </c>
      <c r="S652" s="6">
        <v>7.2</v>
      </c>
      <c r="T652" s="3"/>
    </row>
    <row r="653" spans="1:20" s="4" customFormat="1" ht="15" customHeight="1" x14ac:dyDescent="0.2">
      <c r="A653" s="4">
        <v>2007</v>
      </c>
      <c r="B653" s="4" t="s">
        <v>91</v>
      </c>
      <c r="C653" s="4">
        <v>3</v>
      </c>
      <c r="D653" s="4">
        <v>6</v>
      </c>
      <c r="E653" s="4" t="s">
        <v>43</v>
      </c>
      <c r="F653" s="4" t="s">
        <v>47</v>
      </c>
      <c r="G653" s="4">
        <v>1987</v>
      </c>
      <c r="H653" s="4" t="s">
        <v>22</v>
      </c>
      <c r="I653" s="5">
        <v>0.5</v>
      </c>
      <c r="J653" s="3">
        <v>600</v>
      </c>
      <c r="K653" s="3">
        <f>SUM(J653/I653)</f>
        <v>1200</v>
      </c>
      <c r="L653" s="3">
        <v>197</v>
      </c>
      <c r="M653" s="5">
        <v>2.7</v>
      </c>
      <c r="N653" s="5">
        <f>SUM(M653)/I653</f>
        <v>5.4</v>
      </c>
      <c r="O653" s="5">
        <f t="shared" si="52"/>
        <v>9</v>
      </c>
      <c r="P653" s="8">
        <v>39364</v>
      </c>
      <c r="Q653" s="6">
        <v>23.4</v>
      </c>
      <c r="R653" s="5">
        <v>3.41</v>
      </c>
      <c r="S653" s="6">
        <v>7.2</v>
      </c>
      <c r="T653" s="3"/>
    </row>
    <row r="654" spans="1:20" s="4" customFormat="1" ht="15" customHeight="1" x14ac:dyDescent="0.2">
      <c r="A654" s="4">
        <v>2007</v>
      </c>
      <c r="B654" s="4" t="s">
        <v>91</v>
      </c>
      <c r="C654" s="4">
        <v>3</v>
      </c>
      <c r="D654" s="4">
        <v>7</v>
      </c>
      <c r="E654" s="4" t="s">
        <v>43</v>
      </c>
      <c r="F654" s="4" t="s">
        <v>48</v>
      </c>
      <c r="G654" s="4">
        <v>1987</v>
      </c>
      <c r="H654" s="4" t="s">
        <v>22</v>
      </c>
      <c r="I654" s="5">
        <v>0.96</v>
      </c>
      <c r="J654" s="3">
        <v>1160</v>
      </c>
      <c r="K654" s="3">
        <f>SUM(J654/I654)</f>
        <v>1208.3333333333335</v>
      </c>
      <c r="L654" s="3">
        <v>205</v>
      </c>
      <c r="M654" s="5">
        <v>5.7</v>
      </c>
      <c r="N654" s="5">
        <f>SUM(M654)/I654</f>
        <v>5.9375</v>
      </c>
      <c r="O654" s="5">
        <f t="shared" si="52"/>
        <v>9.8275862068965516</v>
      </c>
      <c r="P654" s="8">
        <v>39364</v>
      </c>
      <c r="Q654" s="6">
        <v>23.4</v>
      </c>
      <c r="R654" s="5">
        <v>3.41</v>
      </c>
      <c r="S654" s="6">
        <v>7.2</v>
      </c>
      <c r="T654" s="3"/>
    </row>
    <row r="655" spans="1:20" s="4" customFormat="1" ht="15" customHeight="1" x14ac:dyDescent="0.2">
      <c r="A655" s="4">
        <v>2007</v>
      </c>
      <c r="B655" s="4" t="s">
        <v>91</v>
      </c>
      <c r="C655" s="4">
        <v>3</v>
      </c>
      <c r="D655" s="4">
        <v>8</v>
      </c>
      <c r="E655" s="4" t="s">
        <v>43</v>
      </c>
      <c r="F655" s="4" t="s">
        <v>49</v>
      </c>
      <c r="G655" s="4">
        <v>1975</v>
      </c>
      <c r="H655" s="4" t="s">
        <v>22</v>
      </c>
      <c r="I655" s="5">
        <v>0.54</v>
      </c>
      <c r="J655" s="3">
        <v>219</v>
      </c>
      <c r="K655" s="3">
        <f>SUM(J655/I655)</f>
        <v>405.55555555555554</v>
      </c>
      <c r="L655" s="3">
        <v>195</v>
      </c>
      <c r="M655" s="5">
        <v>1.9</v>
      </c>
      <c r="N655" s="5">
        <f>SUM(M655)/I655</f>
        <v>3.5185185185185182</v>
      </c>
      <c r="O655" s="5">
        <f t="shared" si="52"/>
        <v>17.351598173515981</v>
      </c>
      <c r="P655" s="8">
        <v>39364</v>
      </c>
      <c r="Q655" s="6">
        <v>23.4</v>
      </c>
      <c r="R655" s="5">
        <v>3.41</v>
      </c>
      <c r="S655" s="6">
        <v>7.2</v>
      </c>
      <c r="T655" s="3"/>
    </row>
    <row r="656" spans="1:20" s="4" customFormat="1" ht="15" customHeight="1" x14ac:dyDescent="0.2">
      <c r="A656" s="4">
        <v>2007</v>
      </c>
      <c r="B656" s="4" t="s">
        <v>91</v>
      </c>
      <c r="C656" s="4">
        <v>4</v>
      </c>
      <c r="D656" s="4">
        <v>2</v>
      </c>
      <c r="E656" s="4" t="s">
        <v>43</v>
      </c>
      <c r="F656" s="4">
        <v>667</v>
      </c>
      <c r="G656" s="4">
        <v>2005</v>
      </c>
      <c r="H656" s="4" t="s">
        <v>34</v>
      </c>
      <c r="I656" s="5">
        <v>0.9</v>
      </c>
      <c r="J656" s="3">
        <v>1240</v>
      </c>
      <c r="K656" s="3">
        <v>1240</v>
      </c>
      <c r="L656" s="4">
        <v>150</v>
      </c>
      <c r="M656" s="5">
        <v>1.4</v>
      </c>
      <c r="N656" s="5">
        <f>SUM(M656/I656)</f>
        <v>1.5555555555555554</v>
      </c>
      <c r="O656" s="5">
        <f t="shared" ref="O656:O684" si="53">SUM(M656*2000)/J656</f>
        <v>2.2580645161290325</v>
      </c>
      <c r="P656" s="8">
        <v>39353</v>
      </c>
      <c r="Q656" s="6">
        <v>24</v>
      </c>
      <c r="R656" s="5">
        <v>3.39</v>
      </c>
      <c r="S656" s="6">
        <v>6</v>
      </c>
      <c r="T656" s="3"/>
    </row>
    <row r="657" spans="1:20" s="4" customFormat="1" ht="15" customHeight="1" x14ac:dyDescent="0.2">
      <c r="A657" s="4">
        <v>2007</v>
      </c>
      <c r="B657" s="4" t="s">
        <v>91</v>
      </c>
      <c r="C657" s="4">
        <v>4</v>
      </c>
      <c r="D657" s="4">
        <v>3</v>
      </c>
      <c r="E657" s="4" t="s">
        <v>43</v>
      </c>
      <c r="F657" s="4" t="s">
        <v>46</v>
      </c>
      <c r="G657" s="4">
        <v>1990</v>
      </c>
      <c r="H657" s="4" t="s">
        <v>22</v>
      </c>
      <c r="I657" s="5">
        <v>2.71</v>
      </c>
      <c r="J657" s="3">
        <v>3279</v>
      </c>
      <c r="K657" s="3">
        <f>SUM(J657/I657)</f>
        <v>1209.9630996309963</v>
      </c>
      <c r="L657" s="3">
        <v>170</v>
      </c>
      <c r="M657" s="5">
        <v>14.4</v>
      </c>
      <c r="N657" s="5">
        <f>SUM(M657)/I657</f>
        <v>5.3136531365313653</v>
      </c>
      <c r="O657" s="5">
        <f t="shared" si="53"/>
        <v>8.7831655992680702</v>
      </c>
      <c r="P657" s="8">
        <v>39358</v>
      </c>
      <c r="Q657" s="6">
        <v>25</v>
      </c>
      <c r="R657" s="5">
        <v>3.43</v>
      </c>
      <c r="S657" s="6">
        <v>8.4</v>
      </c>
      <c r="T657" s="3"/>
    </row>
    <row r="658" spans="1:20" s="4" customFormat="1" ht="15" customHeight="1" x14ac:dyDescent="0.2">
      <c r="A658" s="4">
        <v>2007</v>
      </c>
      <c r="B658" s="4" t="s">
        <v>91</v>
      </c>
      <c r="C658" s="4">
        <v>4</v>
      </c>
      <c r="D658" s="4">
        <v>7</v>
      </c>
      <c r="E658" s="4" t="s">
        <v>43</v>
      </c>
      <c r="F658" s="4">
        <v>115</v>
      </c>
      <c r="G658" s="4">
        <v>2005</v>
      </c>
      <c r="H658" s="4" t="s">
        <v>44</v>
      </c>
      <c r="I658" s="5">
        <v>0.53</v>
      </c>
      <c r="J658" s="3">
        <v>965</v>
      </c>
      <c r="K658" s="3"/>
      <c r="L658" s="3">
        <v>140</v>
      </c>
      <c r="M658" s="5">
        <v>2.6</v>
      </c>
      <c r="N658" s="5">
        <f>SUM(M658/I658)</f>
        <v>4.9056603773584904</v>
      </c>
      <c r="O658" s="5">
        <f t="shared" si="53"/>
        <v>5.3886010362694297</v>
      </c>
      <c r="P658" s="8">
        <v>39353</v>
      </c>
      <c r="Q658" s="6">
        <v>24</v>
      </c>
      <c r="R658" s="5">
        <v>3.39</v>
      </c>
      <c r="S658" s="6">
        <v>6</v>
      </c>
      <c r="T658" s="3"/>
    </row>
    <row r="659" spans="1:20" s="4" customFormat="1" ht="15" customHeight="1" x14ac:dyDescent="0.2">
      <c r="A659" s="4">
        <v>2007</v>
      </c>
      <c r="B659" s="4" t="s">
        <v>91</v>
      </c>
      <c r="C659" s="4">
        <v>4</v>
      </c>
      <c r="D659" s="4">
        <v>9</v>
      </c>
      <c r="E659" s="4" t="s">
        <v>43</v>
      </c>
      <c r="F659" s="4">
        <v>777</v>
      </c>
      <c r="G659" s="4">
        <v>2005</v>
      </c>
      <c r="H659" s="4" t="s">
        <v>44</v>
      </c>
      <c r="I659" s="5">
        <v>1.63</v>
      </c>
      <c r="J659" s="3">
        <v>2600</v>
      </c>
      <c r="K659" s="3"/>
      <c r="L659" s="3"/>
      <c r="M659" s="5">
        <v>2.8</v>
      </c>
      <c r="N659" s="5">
        <f>SUM(M659/I659)</f>
        <v>1.7177914110429449</v>
      </c>
      <c r="O659" s="5">
        <f t="shared" si="53"/>
        <v>2.1538461538461537</v>
      </c>
      <c r="P659" s="8">
        <v>39353</v>
      </c>
      <c r="Q659" s="6">
        <v>24</v>
      </c>
      <c r="R659" s="5">
        <v>3.39</v>
      </c>
      <c r="S659" s="6">
        <v>6</v>
      </c>
      <c r="T659" s="3"/>
    </row>
    <row r="660" spans="1:20" s="4" customFormat="1" ht="15" customHeight="1" x14ac:dyDescent="0.2">
      <c r="A660" s="4">
        <v>2007</v>
      </c>
      <c r="B660" s="4" t="s">
        <v>91</v>
      </c>
      <c r="C660" s="4">
        <v>4</v>
      </c>
      <c r="D660" s="4">
        <v>10</v>
      </c>
      <c r="E660" s="4" t="s">
        <v>43</v>
      </c>
      <c r="F660" s="4" t="s">
        <v>46</v>
      </c>
      <c r="G660" s="4">
        <v>1990</v>
      </c>
      <c r="H660" s="4" t="s">
        <v>53</v>
      </c>
      <c r="I660" s="5">
        <v>1.73</v>
      </c>
      <c r="J660" s="3">
        <v>2093</v>
      </c>
      <c r="K660" s="3">
        <f>SUM(J660/I660)</f>
        <v>1209.8265895953757</v>
      </c>
      <c r="L660" s="4">
        <v>195</v>
      </c>
      <c r="M660" s="5">
        <v>10.199999999999999</v>
      </c>
      <c r="N660" s="5">
        <f>SUM(M660)/I660</f>
        <v>5.895953757225433</v>
      </c>
      <c r="O660" s="5">
        <f t="shared" si="53"/>
        <v>9.7467749641662689</v>
      </c>
      <c r="P660" s="8">
        <v>38993</v>
      </c>
      <c r="Q660" s="6">
        <v>24.8</v>
      </c>
      <c r="R660" s="5">
        <v>3.33</v>
      </c>
      <c r="S660" s="6">
        <v>8.4</v>
      </c>
      <c r="T660" s="3"/>
    </row>
    <row r="661" spans="1:20" s="4" customFormat="1" ht="15" customHeight="1" x14ac:dyDescent="0.2">
      <c r="A661" s="4">
        <v>2007</v>
      </c>
      <c r="B661" s="4" t="s">
        <v>91</v>
      </c>
      <c r="C661" s="4">
        <v>4</v>
      </c>
      <c r="D661" s="4">
        <v>11</v>
      </c>
      <c r="E661" s="4" t="s">
        <v>43</v>
      </c>
      <c r="F661" s="4">
        <v>115</v>
      </c>
      <c r="G661" s="4">
        <v>2003</v>
      </c>
      <c r="H661" s="4" t="s">
        <v>34</v>
      </c>
      <c r="I661" s="5">
        <v>1.46</v>
      </c>
      <c r="J661" s="3">
        <v>2600</v>
      </c>
      <c r="K661" s="3">
        <v>1780</v>
      </c>
      <c r="L661" s="4">
        <v>148</v>
      </c>
      <c r="M661" s="5">
        <v>6.9</v>
      </c>
      <c r="N661" s="5">
        <f>SUM(M661/I661)</f>
        <v>4.7260273972602747</v>
      </c>
      <c r="O661" s="5">
        <f t="shared" si="53"/>
        <v>5.3076923076923075</v>
      </c>
      <c r="P661" s="8">
        <v>39359</v>
      </c>
      <c r="Q661" s="6">
        <v>22.6</v>
      </c>
      <c r="R661" s="5">
        <v>3.58</v>
      </c>
      <c r="S661" s="6">
        <v>5.8</v>
      </c>
      <c r="T661" s="3"/>
    </row>
    <row r="662" spans="1:20" s="4" customFormat="1" ht="15" customHeight="1" x14ac:dyDescent="0.2">
      <c r="A662" s="4">
        <v>2007</v>
      </c>
      <c r="B662" s="4" t="s">
        <v>91</v>
      </c>
      <c r="C662" s="4">
        <v>5</v>
      </c>
      <c r="D662" s="4">
        <v>5</v>
      </c>
      <c r="E662" s="4" t="s">
        <v>43</v>
      </c>
      <c r="F662" s="4">
        <v>115</v>
      </c>
      <c r="G662" s="4">
        <v>1997</v>
      </c>
      <c r="H662" s="4" t="s">
        <v>54</v>
      </c>
      <c r="I662" s="5">
        <v>1.43</v>
      </c>
      <c r="J662" s="3">
        <v>2450</v>
      </c>
      <c r="K662" s="3">
        <f>SUM(J662/I662)</f>
        <v>1713.2867132867134</v>
      </c>
      <c r="L662" s="4">
        <v>192</v>
      </c>
      <c r="M662" s="5">
        <v>6.7</v>
      </c>
      <c r="N662" s="5">
        <f>SUM(M662)/I662</f>
        <v>4.6853146853146859</v>
      </c>
      <c r="O662" s="5">
        <f t="shared" si="53"/>
        <v>5.4693877551020407</v>
      </c>
      <c r="P662" s="8">
        <v>39371</v>
      </c>
      <c r="Q662" s="6">
        <v>22.8</v>
      </c>
      <c r="R662" s="5">
        <v>3.5</v>
      </c>
      <c r="S662" s="6">
        <v>6.3</v>
      </c>
      <c r="T662" s="3"/>
    </row>
    <row r="663" spans="1:20" s="4" customFormat="1" ht="15" customHeight="1" x14ac:dyDescent="0.2">
      <c r="A663" s="4">
        <v>2007</v>
      </c>
      <c r="B663" s="4" t="s">
        <v>91</v>
      </c>
      <c r="C663" s="4">
        <v>5</v>
      </c>
      <c r="D663" s="4">
        <v>6</v>
      </c>
      <c r="E663" s="4" t="s">
        <v>43</v>
      </c>
      <c r="F663" s="4">
        <v>777</v>
      </c>
      <c r="G663" s="4">
        <v>1997</v>
      </c>
      <c r="H663" s="4" t="s">
        <v>54</v>
      </c>
      <c r="I663" s="5">
        <v>1.87</v>
      </c>
      <c r="J663" s="3">
        <v>3200</v>
      </c>
      <c r="K663" s="3">
        <f>SUM(J663/I663)</f>
        <v>1711.229946524064</v>
      </c>
      <c r="L663" s="3">
        <v>187</v>
      </c>
      <c r="M663" s="5">
        <v>8.5</v>
      </c>
      <c r="N663" s="5">
        <f>SUM(M663)/I663</f>
        <v>4.545454545454545</v>
      </c>
      <c r="O663" s="5">
        <f t="shared" si="53"/>
        <v>5.3125</v>
      </c>
      <c r="P663" s="8">
        <v>39371</v>
      </c>
      <c r="Q663" s="6">
        <v>23.2</v>
      </c>
      <c r="R663" s="5">
        <v>3.45</v>
      </c>
      <c r="S663" s="6">
        <v>6.1</v>
      </c>
      <c r="T663" s="3"/>
    </row>
    <row r="664" spans="1:20" s="4" customFormat="1" ht="15" customHeight="1" x14ac:dyDescent="0.2">
      <c r="A664" s="4">
        <v>2008</v>
      </c>
      <c r="B664" s="4" t="s">
        <v>91</v>
      </c>
      <c r="C664" s="4">
        <v>3</v>
      </c>
      <c r="D664" s="4">
        <v>1</v>
      </c>
      <c r="E664" s="4" t="s">
        <v>43</v>
      </c>
      <c r="F664" s="4">
        <v>777</v>
      </c>
      <c r="G664" s="4">
        <v>2005</v>
      </c>
      <c r="H664" s="4" t="s">
        <v>44</v>
      </c>
      <c r="I664" s="5">
        <v>1.79</v>
      </c>
      <c r="J664" s="3">
        <v>2895</v>
      </c>
      <c r="K664" s="3">
        <v>1617</v>
      </c>
      <c r="L664" s="4">
        <v>198</v>
      </c>
      <c r="M664" s="5">
        <v>8.4</v>
      </c>
      <c r="N664" s="5">
        <f>SUM(M664/I664)</f>
        <v>4.6927374301675977</v>
      </c>
      <c r="O664" s="5">
        <f t="shared" si="53"/>
        <v>5.8031088082901556</v>
      </c>
      <c r="P664" s="8">
        <v>39723</v>
      </c>
      <c r="Q664" s="6">
        <v>22.8</v>
      </c>
      <c r="R664" s="5">
        <v>3.3</v>
      </c>
      <c r="S664" s="6">
        <v>6.3</v>
      </c>
      <c r="T664" s="3"/>
    </row>
    <row r="665" spans="1:20" s="4" customFormat="1" ht="15" customHeight="1" x14ac:dyDescent="0.2">
      <c r="A665" s="4">
        <v>2008</v>
      </c>
      <c r="B665" s="4" t="s">
        <v>91</v>
      </c>
      <c r="C665" s="4">
        <v>3</v>
      </c>
      <c r="D665" s="4">
        <v>3</v>
      </c>
      <c r="E665" s="4" t="s">
        <v>43</v>
      </c>
      <c r="F665" s="4">
        <v>667</v>
      </c>
      <c r="G665" s="4">
        <v>1996</v>
      </c>
      <c r="H665" s="4" t="s">
        <v>45</v>
      </c>
      <c r="I665" s="5">
        <v>2.4700000000000002</v>
      </c>
      <c r="J665" s="3">
        <v>5000</v>
      </c>
      <c r="K665" s="3">
        <f>SUM(J665/I665)</f>
        <v>2024.2914979757084</v>
      </c>
      <c r="L665" s="3">
        <v>194</v>
      </c>
      <c r="M665" s="5">
        <v>13</v>
      </c>
      <c r="N665" s="5">
        <f>SUM(M665)/I665</f>
        <v>5.2631578947368416</v>
      </c>
      <c r="O665" s="5">
        <f t="shared" si="53"/>
        <v>5.2</v>
      </c>
      <c r="P665" s="8">
        <v>39728</v>
      </c>
      <c r="Q665" s="6">
        <v>24</v>
      </c>
      <c r="R665" s="5">
        <v>3.52</v>
      </c>
      <c r="S665" s="6">
        <v>6.5</v>
      </c>
      <c r="T665" s="3"/>
    </row>
    <row r="666" spans="1:20" s="4" customFormat="1" ht="15" customHeight="1" x14ac:dyDescent="0.2">
      <c r="A666" s="4">
        <v>2008</v>
      </c>
      <c r="B666" s="4" t="s">
        <v>91</v>
      </c>
      <c r="C666" s="4">
        <v>3</v>
      </c>
      <c r="D666" s="4">
        <v>5</v>
      </c>
      <c r="E666" s="4" t="s">
        <v>43</v>
      </c>
      <c r="F666" s="4" t="s">
        <v>46</v>
      </c>
      <c r="G666" s="4">
        <v>1990</v>
      </c>
      <c r="H666" s="4" t="s">
        <v>22</v>
      </c>
      <c r="I666" s="5">
        <v>0.91</v>
      </c>
      <c r="J666" s="3">
        <v>1013</v>
      </c>
      <c r="K666" s="3">
        <f>SUM(J666/I666)</f>
        <v>1113.1868131868132</v>
      </c>
      <c r="L666" s="3">
        <v>178</v>
      </c>
      <c r="M666" s="5">
        <v>4.4000000000000004</v>
      </c>
      <c r="N666" s="5">
        <f>SUM(M666)/I666</f>
        <v>4.8351648351648358</v>
      </c>
      <c r="O666" s="5">
        <f t="shared" si="53"/>
        <v>8.6870681145113533</v>
      </c>
      <c r="P666" s="8">
        <v>39728</v>
      </c>
      <c r="Q666" s="6">
        <v>23.2</v>
      </c>
      <c r="R666" s="5">
        <v>3.44</v>
      </c>
      <c r="S666" s="6">
        <v>7.1</v>
      </c>
      <c r="T666" s="3"/>
    </row>
    <row r="667" spans="1:20" s="4" customFormat="1" ht="15" customHeight="1" x14ac:dyDescent="0.2">
      <c r="A667" s="4">
        <v>2008</v>
      </c>
      <c r="B667" s="4" t="s">
        <v>91</v>
      </c>
      <c r="C667" s="4">
        <v>3</v>
      </c>
      <c r="D667" s="4">
        <v>6</v>
      </c>
      <c r="E667" s="4" t="s">
        <v>43</v>
      </c>
      <c r="F667" s="4" t="s">
        <v>47</v>
      </c>
      <c r="G667" s="4">
        <v>1987</v>
      </c>
      <c r="H667" s="4" t="s">
        <v>22</v>
      </c>
      <c r="I667" s="5">
        <v>0.5</v>
      </c>
      <c r="J667" s="3">
        <v>600</v>
      </c>
      <c r="K667" s="3">
        <f>SUM(J667/I667)</f>
        <v>1200</v>
      </c>
      <c r="L667" s="3">
        <v>225</v>
      </c>
      <c r="M667" s="5">
        <v>2.2999999999999998</v>
      </c>
      <c r="N667" s="5">
        <f>SUM(M667)/I667</f>
        <v>4.5999999999999996</v>
      </c>
      <c r="O667" s="5">
        <f t="shared" si="53"/>
        <v>7.666666666666667</v>
      </c>
      <c r="P667" s="8">
        <v>39728</v>
      </c>
      <c r="Q667" s="6">
        <v>23.2</v>
      </c>
      <c r="R667" s="5">
        <v>3.44</v>
      </c>
      <c r="S667" s="6">
        <v>7.1</v>
      </c>
      <c r="T667" s="3"/>
    </row>
    <row r="668" spans="1:20" s="4" customFormat="1" ht="15" customHeight="1" x14ac:dyDescent="0.2">
      <c r="A668" s="4">
        <v>2008</v>
      </c>
      <c r="B668" s="4" t="s">
        <v>91</v>
      </c>
      <c r="C668" s="4">
        <v>3</v>
      </c>
      <c r="D668" s="4">
        <v>7</v>
      </c>
      <c r="E668" s="4" t="s">
        <v>43</v>
      </c>
      <c r="F668" s="4" t="s">
        <v>48</v>
      </c>
      <c r="G668" s="4">
        <v>1987</v>
      </c>
      <c r="H668" s="4" t="s">
        <v>22</v>
      </c>
      <c r="I668" s="5">
        <v>0.96</v>
      </c>
      <c r="J668" s="3">
        <v>1160</v>
      </c>
      <c r="K668" s="3">
        <f>SUM(J668/I668)</f>
        <v>1208.3333333333335</v>
      </c>
      <c r="L668" s="3">
        <v>220</v>
      </c>
      <c r="M668" s="5">
        <v>3.9</v>
      </c>
      <c r="N668" s="5">
        <f>SUM(M668)/I668</f>
        <v>4.0625</v>
      </c>
      <c r="O668" s="5">
        <f t="shared" si="53"/>
        <v>6.7241379310344831</v>
      </c>
      <c r="P668" s="8">
        <v>39728</v>
      </c>
      <c r="Q668" s="6">
        <v>23.2</v>
      </c>
      <c r="R668" s="5">
        <v>3.44</v>
      </c>
      <c r="S668" s="6">
        <v>7.1</v>
      </c>
      <c r="T668" s="3"/>
    </row>
    <row r="669" spans="1:20" s="4" customFormat="1" ht="15" customHeight="1" x14ac:dyDescent="0.2">
      <c r="A669" s="4">
        <v>2008</v>
      </c>
      <c r="B669" s="4" t="s">
        <v>91</v>
      </c>
      <c r="C669" s="4">
        <v>3</v>
      </c>
      <c r="D669" s="4">
        <v>8</v>
      </c>
      <c r="E669" s="4" t="s">
        <v>43</v>
      </c>
      <c r="F669" s="4" t="s">
        <v>49</v>
      </c>
      <c r="G669" s="4">
        <v>1975</v>
      </c>
      <c r="H669" s="4" t="s">
        <v>22</v>
      </c>
      <c r="I669" s="5">
        <v>0.54</v>
      </c>
      <c r="J669" s="3">
        <v>219</v>
      </c>
      <c r="K669" s="3">
        <f>SUM(J669/I669)</f>
        <v>405.55555555555554</v>
      </c>
      <c r="L669" s="3">
        <v>172</v>
      </c>
      <c r="M669" s="5">
        <v>2.2000000000000002</v>
      </c>
      <c r="N669" s="5">
        <f>SUM(M669)/I669</f>
        <v>4.0740740740740744</v>
      </c>
      <c r="O669" s="5">
        <f t="shared" si="53"/>
        <v>20.091324200913242</v>
      </c>
      <c r="P669" s="8">
        <v>39728</v>
      </c>
      <c r="Q669" s="6">
        <v>23.2</v>
      </c>
      <c r="R669" s="5">
        <v>3.44</v>
      </c>
      <c r="S669" s="6">
        <v>7.1</v>
      </c>
      <c r="T669" s="3"/>
    </row>
    <row r="670" spans="1:20" s="4" customFormat="1" ht="15" customHeight="1" x14ac:dyDescent="0.2">
      <c r="A670" s="4">
        <v>2008</v>
      </c>
      <c r="B670" s="4" t="s">
        <v>91</v>
      </c>
      <c r="C670" s="4">
        <v>4</v>
      </c>
      <c r="D670" s="4">
        <v>2</v>
      </c>
      <c r="E670" s="4" t="s">
        <v>43</v>
      </c>
      <c r="F670" s="4">
        <v>667</v>
      </c>
      <c r="G670" s="4">
        <v>2005</v>
      </c>
      <c r="H670" s="4" t="s">
        <v>34</v>
      </c>
      <c r="I670" s="5">
        <v>0.9</v>
      </c>
      <c r="J670" s="3">
        <v>1240</v>
      </c>
      <c r="K670" s="3">
        <v>1240</v>
      </c>
      <c r="L670" s="4">
        <v>223</v>
      </c>
      <c r="M670" s="5">
        <v>4.9000000000000004</v>
      </c>
      <c r="N670" s="5">
        <f>SUM(M670/I670)</f>
        <v>5.4444444444444446</v>
      </c>
      <c r="O670" s="5">
        <f t="shared" si="53"/>
        <v>7.903225806451613</v>
      </c>
      <c r="P670" s="8">
        <v>39723</v>
      </c>
      <c r="Q670" s="6">
        <v>23.2</v>
      </c>
      <c r="R670" s="5">
        <v>3.3</v>
      </c>
      <c r="S670" s="6">
        <v>6.7</v>
      </c>
      <c r="T670" s="3"/>
    </row>
    <row r="671" spans="1:20" s="4" customFormat="1" ht="15" customHeight="1" x14ac:dyDescent="0.2">
      <c r="A671" s="4">
        <v>2008</v>
      </c>
      <c r="B671" s="4" t="s">
        <v>91</v>
      </c>
      <c r="C671" s="4">
        <v>4</v>
      </c>
      <c r="D671" s="4">
        <v>3</v>
      </c>
      <c r="E671" s="4" t="s">
        <v>43</v>
      </c>
      <c r="F671" s="4" t="s">
        <v>46</v>
      </c>
      <c r="G671" s="4">
        <v>1990</v>
      </c>
      <c r="H671" s="4" t="s">
        <v>22</v>
      </c>
      <c r="I671" s="5">
        <v>2.71</v>
      </c>
      <c r="J671" s="3">
        <v>3279</v>
      </c>
      <c r="K671" s="3">
        <f>SUM(J671/I671)</f>
        <v>1209.9630996309963</v>
      </c>
      <c r="L671" s="3">
        <v>188</v>
      </c>
      <c r="M671" s="5">
        <v>16.399999999999999</v>
      </c>
      <c r="N671" s="5">
        <f>SUM(M671)/I671</f>
        <v>6.0516605166051658</v>
      </c>
      <c r="O671" s="5">
        <f t="shared" si="53"/>
        <v>10.003049710277523</v>
      </c>
      <c r="P671" s="8">
        <v>39727</v>
      </c>
      <c r="Q671" s="6">
        <v>23.2</v>
      </c>
      <c r="R671" s="5">
        <v>3.48</v>
      </c>
      <c r="S671" s="6">
        <v>8.1999999999999993</v>
      </c>
      <c r="T671" s="3"/>
    </row>
    <row r="672" spans="1:20" s="4" customFormat="1" ht="15" customHeight="1" x14ac:dyDescent="0.2">
      <c r="A672" s="4">
        <v>2008</v>
      </c>
      <c r="B672" s="4" t="s">
        <v>91</v>
      </c>
      <c r="C672" s="4">
        <v>4</v>
      </c>
      <c r="D672" s="4">
        <v>7</v>
      </c>
      <c r="E672" s="4" t="s">
        <v>43</v>
      </c>
      <c r="F672" s="4">
        <v>115</v>
      </c>
      <c r="G672" s="4">
        <v>2005</v>
      </c>
      <c r="H672" s="4" t="s">
        <v>44</v>
      </c>
      <c r="I672" s="5">
        <v>0.53</v>
      </c>
      <c r="J672" s="3">
        <v>965</v>
      </c>
      <c r="K672" s="3"/>
      <c r="L672" s="3">
        <v>208</v>
      </c>
      <c r="M672" s="5">
        <v>2.2999999999999998</v>
      </c>
      <c r="N672" s="5">
        <f>SUM(M672/I672)</f>
        <v>4.3396226415094334</v>
      </c>
      <c r="O672" s="5">
        <f t="shared" si="53"/>
        <v>4.766839378238342</v>
      </c>
      <c r="P672" s="8">
        <v>39724</v>
      </c>
      <c r="Q672" s="6">
        <v>22.8</v>
      </c>
      <c r="R672" s="5">
        <v>3.3</v>
      </c>
      <c r="S672" s="6">
        <v>6.2</v>
      </c>
      <c r="T672" s="3"/>
    </row>
    <row r="673" spans="1:20" s="4" customFormat="1" ht="15" customHeight="1" x14ac:dyDescent="0.2">
      <c r="A673" s="4">
        <v>2008</v>
      </c>
      <c r="B673" s="4" t="s">
        <v>91</v>
      </c>
      <c r="C673" s="4">
        <v>4</v>
      </c>
      <c r="D673" s="4">
        <v>8</v>
      </c>
      <c r="E673" s="4" t="s">
        <v>43</v>
      </c>
      <c r="F673" s="4">
        <v>115</v>
      </c>
      <c r="G673" s="4">
        <v>2005</v>
      </c>
      <c r="H673" s="4" t="s">
        <v>44</v>
      </c>
      <c r="I673" s="5">
        <v>1.25</v>
      </c>
      <c r="J673" s="3">
        <v>1990</v>
      </c>
      <c r="K673" s="3"/>
      <c r="L673" s="3">
        <v>155</v>
      </c>
      <c r="M673" s="5">
        <v>5.0999999999999996</v>
      </c>
      <c r="N673" s="5">
        <f>SUM(M673/I673)</f>
        <v>4.08</v>
      </c>
      <c r="O673" s="5">
        <f t="shared" si="53"/>
        <v>5.125628140703518</v>
      </c>
      <c r="P673" s="8">
        <v>39724</v>
      </c>
      <c r="Q673" s="6">
        <v>22.8</v>
      </c>
      <c r="R673" s="5">
        <v>3.3</v>
      </c>
      <c r="S673" s="6">
        <v>6.2</v>
      </c>
      <c r="T673" s="3"/>
    </row>
    <row r="674" spans="1:20" s="4" customFormat="1" ht="15" customHeight="1" x14ac:dyDescent="0.2">
      <c r="A674" s="4">
        <v>2008</v>
      </c>
      <c r="B674" s="4" t="s">
        <v>91</v>
      </c>
      <c r="C674" s="4">
        <v>4</v>
      </c>
      <c r="D674" s="4">
        <v>9</v>
      </c>
      <c r="E674" s="4" t="s">
        <v>43</v>
      </c>
      <c r="F674" s="4">
        <v>777</v>
      </c>
      <c r="G674" s="4">
        <v>2005</v>
      </c>
      <c r="H674" s="4" t="s">
        <v>44</v>
      </c>
      <c r="I674" s="5">
        <v>1.63</v>
      </c>
      <c r="J674" s="3">
        <v>2600</v>
      </c>
      <c r="K674" s="3"/>
      <c r="L674" s="3">
        <v>213</v>
      </c>
      <c r="M674" s="5">
        <v>6.1</v>
      </c>
      <c r="N674" s="5">
        <f>SUM(M674/I674)</f>
        <v>3.7423312883435584</v>
      </c>
      <c r="O674" s="5">
        <f t="shared" si="53"/>
        <v>4.6923076923076925</v>
      </c>
      <c r="P674" s="8">
        <v>39723</v>
      </c>
      <c r="Q674" s="6">
        <v>22.8</v>
      </c>
      <c r="R674" s="5">
        <v>3.31</v>
      </c>
      <c r="S674" s="6">
        <v>6.2</v>
      </c>
      <c r="T674" s="3"/>
    </row>
    <row r="675" spans="1:20" s="4" customFormat="1" ht="15" customHeight="1" x14ac:dyDescent="0.2">
      <c r="A675" s="4">
        <v>2008</v>
      </c>
      <c r="B675" s="4" t="s">
        <v>91</v>
      </c>
      <c r="C675" s="4">
        <v>4</v>
      </c>
      <c r="D675" s="4">
        <v>10</v>
      </c>
      <c r="E675" s="4" t="s">
        <v>43</v>
      </c>
      <c r="F675" s="4" t="s">
        <v>46</v>
      </c>
      <c r="G675" s="4">
        <v>1990</v>
      </c>
      <c r="H675" s="4" t="s">
        <v>53</v>
      </c>
      <c r="I675" s="5">
        <v>1.73</v>
      </c>
      <c r="J675" s="3">
        <v>2093</v>
      </c>
      <c r="K675" s="3">
        <f>SUM(J675/I675)</f>
        <v>1209.8265895953757</v>
      </c>
      <c r="L675" s="4">
        <v>222</v>
      </c>
      <c r="M675" s="5">
        <v>10.7</v>
      </c>
      <c r="N675" s="5">
        <f>SUM(M675)/I675</f>
        <v>6.1849710982658959</v>
      </c>
      <c r="O675" s="5">
        <f t="shared" si="53"/>
        <v>10.224558050645006</v>
      </c>
      <c r="P675" s="8">
        <v>39727</v>
      </c>
      <c r="Q675" s="6">
        <v>23.5</v>
      </c>
      <c r="R675" s="5">
        <v>3.48</v>
      </c>
      <c r="S675" s="6">
        <v>7.5</v>
      </c>
      <c r="T675" s="3"/>
    </row>
    <row r="676" spans="1:20" s="4" customFormat="1" ht="15" customHeight="1" x14ac:dyDescent="0.2">
      <c r="A676" s="4">
        <v>2008</v>
      </c>
      <c r="B676" s="4" t="s">
        <v>91</v>
      </c>
      <c r="C676" s="4">
        <v>4</v>
      </c>
      <c r="D676" s="4">
        <v>11</v>
      </c>
      <c r="E676" s="4" t="s">
        <v>43</v>
      </c>
      <c r="F676" s="4">
        <v>115</v>
      </c>
      <c r="G676" s="4">
        <v>2003</v>
      </c>
      <c r="H676" s="4" t="s">
        <v>34</v>
      </c>
      <c r="I676" s="5">
        <v>1.46</v>
      </c>
      <c r="J676" s="3">
        <v>2600</v>
      </c>
      <c r="K676" s="3">
        <v>1780</v>
      </c>
      <c r="L676" s="4">
        <v>180</v>
      </c>
      <c r="M676" s="5">
        <v>8.8000000000000007</v>
      </c>
      <c r="N676" s="5">
        <f>SUM(M676/I676)</f>
        <v>6.0273972602739736</v>
      </c>
      <c r="O676" s="5">
        <f t="shared" si="53"/>
        <v>6.7692307692307692</v>
      </c>
      <c r="P676" s="8">
        <v>39727</v>
      </c>
      <c r="Q676" s="6">
        <v>23.5</v>
      </c>
      <c r="R676" s="5">
        <v>3.43</v>
      </c>
      <c r="S676" s="6">
        <v>7.4</v>
      </c>
      <c r="T676" s="3"/>
    </row>
    <row r="677" spans="1:20" s="4" customFormat="1" ht="15" customHeight="1" x14ac:dyDescent="0.2">
      <c r="A677" s="4">
        <v>2008</v>
      </c>
      <c r="B677" s="4" t="s">
        <v>91</v>
      </c>
      <c r="C677" s="4">
        <v>5</v>
      </c>
      <c r="D677" s="4">
        <v>5</v>
      </c>
      <c r="E677" s="4" t="s">
        <v>43</v>
      </c>
      <c r="F677" s="4">
        <v>115</v>
      </c>
      <c r="G677" s="4">
        <v>1997</v>
      </c>
      <c r="H677" s="4" t="s">
        <v>54</v>
      </c>
      <c r="I677" s="5">
        <v>1.43</v>
      </c>
      <c r="J677" s="3">
        <v>2450</v>
      </c>
      <c r="K677" s="3">
        <f>SUM(J677/I677)</f>
        <v>1713.2867132867134</v>
      </c>
      <c r="L677" s="4">
        <v>167</v>
      </c>
      <c r="M677" s="5">
        <v>6.1</v>
      </c>
      <c r="N677" s="5">
        <f>SUM(M677)/I677</f>
        <v>4.2657342657342658</v>
      </c>
      <c r="O677" s="5">
        <f t="shared" si="53"/>
        <v>4.9795918367346941</v>
      </c>
      <c r="P677" s="8">
        <v>39737</v>
      </c>
      <c r="Q677" s="6">
        <v>24.2</v>
      </c>
      <c r="R677" s="5">
        <v>3.6</v>
      </c>
      <c r="S677" s="6">
        <v>7.28</v>
      </c>
      <c r="T677" s="3"/>
    </row>
    <row r="678" spans="1:20" s="4" customFormat="1" ht="15" customHeight="1" x14ac:dyDescent="0.2">
      <c r="A678" s="4">
        <v>2008</v>
      </c>
      <c r="B678" s="4" t="s">
        <v>91</v>
      </c>
      <c r="C678" s="4">
        <v>5</v>
      </c>
      <c r="D678" s="4">
        <v>6</v>
      </c>
      <c r="E678" s="4" t="s">
        <v>43</v>
      </c>
      <c r="F678" s="4">
        <v>777</v>
      </c>
      <c r="G678" s="4">
        <v>1997</v>
      </c>
      <c r="H678" s="4" t="s">
        <v>54</v>
      </c>
      <c r="I678" s="5">
        <v>1.87</v>
      </c>
      <c r="J678" s="3">
        <v>3200</v>
      </c>
      <c r="K678" s="3">
        <f>SUM(J678/I678)</f>
        <v>1711.229946524064</v>
      </c>
      <c r="L678" s="3">
        <v>160</v>
      </c>
      <c r="M678" s="5">
        <v>7.8</v>
      </c>
      <c r="N678" s="5">
        <f>SUM(M678)/I678</f>
        <v>4.1711229946524062</v>
      </c>
      <c r="O678" s="5">
        <f t="shared" si="53"/>
        <v>4.875</v>
      </c>
      <c r="P678" s="8">
        <v>39737</v>
      </c>
      <c r="Q678" s="6">
        <v>23.2</v>
      </c>
      <c r="R678" s="5">
        <v>3.52</v>
      </c>
      <c r="S678" s="6">
        <v>6.53</v>
      </c>
      <c r="T678" s="3"/>
    </row>
    <row r="679" spans="1:20" s="4" customFormat="1" ht="15" customHeight="1" x14ac:dyDescent="0.2">
      <c r="A679" s="4">
        <v>2009</v>
      </c>
      <c r="B679" s="4" t="s">
        <v>91</v>
      </c>
      <c r="C679" s="4">
        <v>3</v>
      </c>
      <c r="D679" s="4">
        <v>1</v>
      </c>
      <c r="E679" s="4" t="s">
        <v>43</v>
      </c>
      <c r="F679" s="4">
        <v>777</v>
      </c>
      <c r="G679" s="4">
        <v>2005</v>
      </c>
      <c r="H679" s="4" t="s">
        <v>44</v>
      </c>
      <c r="I679" s="5">
        <v>1.79</v>
      </c>
      <c r="J679" s="3">
        <v>2895</v>
      </c>
      <c r="K679" s="3">
        <v>1617</v>
      </c>
      <c r="L679" s="4">
        <v>150</v>
      </c>
      <c r="M679" s="5">
        <v>5.3</v>
      </c>
      <c r="N679" s="5">
        <f>SUM(M679/I679)</f>
        <v>2.960893854748603</v>
      </c>
      <c r="O679" s="5">
        <f t="shared" si="53"/>
        <v>3.6614853195164074</v>
      </c>
      <c r="P679" s="8">
        <v>40081</v>
      </c>
      <c r="Q679" s="6">
        <v>23.6</v>
      </c>
      <c r="R679" s="5">
        <v>3.86</v>
      </c>
      <c r="S679" s="6">
        <v>4.8</v>
      </c>
      <c r="T679" s="3"/>
    </row>
    <row r="680" spans="1:20" s="4" customFormat="1" ht="15" customHeight="1" x14ac:dyDescent="0.2">
      <c r="A680" s="4">
        <v>2009</v>
      </c>
      <c r="B680" s="4" t="s">
        <v>91</v>
      </c>
      <c r="C680" s="4">
        <v>3</v>
      </c>
      <c r="D680" s="4">
        <v>3</v>
      </c>
      <c r="E680" s="4" t="s">
        <v>43</v>
      </c>
      <c r="F680" s="4">
        <v>667</v>
      </c>
      <c r="G680" s="4">
        <v>1996</v>
      </c>
      <c r="H680" s="4" t="s">
        <v>45</v>
      </c>
      <c r="I680" s="5">
        <v>2.4700000000000002</v>
      </c>
      <c r="J680" s="3">
        <v>5000</v>
      </c>
      <c r="K680" s="3">
        <f t="shared" ref="K680:K685" si="54">SUM(J680/I680)</f>
        <v>2024.2914979757084</v>
      </c>
      <c r="L680" s="3"/>
      <c r="M680" s="5"/>
      <c r="N680" s="5">
        <f>SUM(M680)/I680</f>
        <v>0</v>
      </c>
      <c r="O680" s="5">
        <f t="shared" si="53"/>
        <v>0</v>
      </c>
      <c r="P680" s="8"/>
      <c r="Q680" s="6"/>
      <c r="R680" s="5"/>
      <c r="S680" s="6"/>
      <c r="T680" s="3"/>
    </row>
    <row r="681" spans="1:20" s="4" customFormat="1" ht="15" customHeight="1" x14ac:dyDescent="0.2">
      <c r="A681" s="4">
        <v>2009</v>
      </c>
      <c r="B681" s="4" t="s">
        <v>91</v>
      </c>
      <c r="C681" s="4">
        <v>3</v>
      </c>
      <c r="D681" s="4">
        <v>5</v>
      </c>
      <c r="E681" s="4" t="s">
        <v>43</v>
      </c>
      <c r="F681" s="4" t="s">
        <v>46</v>
      </c>
      <c r="G681" s="4">
        <v>1990</v>
      </c>
      <c r="H681" s="4" t="s">
        <v>22</v>
      </c>
      <c r="I681" s="5">
        <v>0.91</v>
      </c>
      <c r="J681" s="3">
        <v>1013</v>
      </c>
      <c r="K681" s="3">
        <f t="shared" si="54"/>
        <v>1113.1868131868132</v>
      </c>
      <c r="L681" s="3">
        <v>185</v>
      </c>
      <c r="M681" s="5">
        <v>3.9</v>
      </c>
      <c r="N681" s="5">
        <f>SUM(M681)/I681</f>
        <v>4.2857142857142856</v>
      </c>
      <c r="O681" s="5">
        <f t="shared" si="53"/>
        <v>7.6999012833168807</v>
      </c>
      <c r="P681" s="8">
        <v>40087</v>
      </c>
      <c r="Q681" s="6">
        <v>28</v>
      </c>
      <c r="R681" s="5">
        <v>3.98</v>
      </c>
      <c r="S681" s="6">
        <v>6.62</v>
      </c>
      <c r="T681" s="3"/>
    </row>
    <row r="682" spans="1:20" s="4" customFormat="1" ht="15" customHeight="1" x14ac:dyDescent="0.2">
      <c r="A682" s="4">
        <v>2009</v>
      </c>
      <c r="B682" s="4" t="s">
        <v>91</v>
      </c>
      <c r="C682" s="4">
        <v>3</v>
      </c>
      <c r="D682" s="4">
        <v>6</v>
      </c>
      <c r="E682" s="4" t="s">
        <v>43</v>
      </c>
      <c r="F682" s="4" t="s">
        <v>47</v>
      </c>
      <c r="G682" s="4">
        <v>1987</v>
      </c>
      <c r="H682" s="4" t="s">
        <v>22</v>
      </c>
      <c r="I682" s="5">
        <v>0.5</v>
      </c>
      <c r="J682" s="3">
        <v>600</v>
      </c>
      <c r="K682" s="3">
        <f t="shared" si="54"/>
        <v>1200</v>
      </c>
      <c r="L682" s="3">
        <v>173</v>
      </c>
      <c r="M682" s="5">
        <v>1.9</v>
      </c>
      <c r="N682" s="5">
        <f>SUM(M682)/I682</f>
        <v>3.8</v>
      </c>
      <c r="O682" s="5">
        <f t="shared" si="53"/>
        <v>6.333333333333333</v>
      </c>
      <c r="P682" s="8">
        <v>40087</v>
      </c>
      <c r="Q682" s="6">
        <v>27.8</v>
      </c>
      <c r="R682" s="5">
        <v>3.96</v>
      </c>
      <c r="S682" s="6">
        <v>8.4</v>
      </c>
      <c r="T682" s="3"/>
    </row>
    <row r="683" spans="1:20" s="4" customFormat="1" ht="15" customHeight="1" x14ac:dyDescent="0.2">
      <c r="A683" s="4">
        <v>2009</v>
      </c>
      <c r="B683" s="4" t="s">
        <v>91</v>
      </c>
      <c r="C683" s="4">
        <v>3</v>
      </c>
      <c r="D683" s="4">
        <v>7</v>
      </c>
      <c r="E683" s="4" t="s">
        <v>43</v>
      </c>
      <c r="F683" s="4" t="s">
        <v>48</v>
      </c>
      <c r="G683" s="4">
        <v>1987</v>
      </c>
      <c r="H683" s="4" t="s">
        <v>22</v>
      </c>
      <c r="I683" s="5">
        <v>0.96</v>
      </c>
      <c r="J683" s="3">
        <v>1160</v>
      </c>
      <c r="K683" s="3">
        <f t="shared" si="54"/>
        <v>1208.3333333333335</v>
      </c>
      <c r="L683" s="3">
        <v>170</v>
      </c>
      <c r="M683" s="5">
        <v>2.8</v>
      </c>
      <c r="N683" s="5">
        <f>SUM(M683)/I683</f>
        <v>2.9166666666666665</v>
      </c>
      <c r="O683" s="5">
        <f t="shared" si="53"/>
        <v>4.8275862068965516</v>
      </c>
      <c r="P683" s="8">
        <v>40087</v>
      </c>
      <c r="Q683" s="6">
        <v>28</v>
      </c>
      <c r="R683" s="5">
        <v>3.98</v>
      </c>
      <c r="S683" s="6">
        <v>6.62</v>
      </c>
      <c r="T683" s="3"/>
    </row>
    <row r="684" spans="1:20" s="4" customFormat="1" ht="15" customHeight="1" x14ac:dyDescent="0.2">
      <c r="A684" s="4">
        <v>2009</v>
      </c>
      <c r="B684" s="4" t="s">
        <v>91</v>
      </c>
      <c r="C684" s="4">
        <v>3</v>
      </c>
      <c r="D684" s="4">
        <v>8</v>
      </c>
      <c r="E684" s="4" t="s">
        <v>43</v>
      </c>
      <c r="F684" s="4" t="s">
        <v>49</v>
      </c>
      <c r="G684" s="4">
        <v>1975</v>
      </c>
      <c r="H684" s="4" t="s">
        <v>22</v>
      </c>
      <c r="I684" s="5">
        <v>0.54</v>
      </c>
      <c r="J684" s="3">
        <v>219</v>
      </c>
      <c r="K684" s="3">
        <f t="shared" si="54"/>
        <v>405.55555555555554</v>
      </c>
      <c r="L684" s="3">
        <v>173</v>
      </c>
      <c r="M684" s="5">
        <v>0.9</v>
      </c>
      <c r="N684" s="5">
        <f>SUM(M684)/I684</f>
        <v>1.6666666666666665</v>
      </c>
      <c r="O684" s="5">
        <f t="shared" si="53"/>
        <v>8.2191780821917817</v>
      </c>
      <c r="P684" s="8">
        <v>40087</v>
      </c>
      <c r="Q684" s="6">
        <v>27.8</v>
      </c>
      <c r="R684" s="5">
        <v>3.96</v>
      </c>
      <c r="S684" s="6">
        <v>8.4</v>
      </c>
      <c r="T684" s="3"/>
    </row>
    <row r="685" spans="1:20" s="4" customFormat="1" ht="15" customHeight="1" x14ac:dyDescent="0.2">
      <c r="A685" s="4">
        <v>2009</v>
      </c>
      <c r="B685" s="4" t="s">
        <v>91</v>
      </c>
      <c r="C685" s="4">
        <v>3</v>
      </c>
      <c r="D685" s="4">
        <v>9</v>
      </c>
      <c r="E685" s="4" t="s">
        <v>43</v>
      </c>
      <c r="F685" s="4" t="s">
        <v>46</v>
      </c>
      <c r="G685" s="4">
        <v>1990</v>
      </c>
      <c r="H685" s="4" t="s">
        <v>50</v>
      </c>
      <c r="I685" s="5">
        <v>0.1</v>
      </c>
      <c r="J685" s="3">
        <v>219</v>
      </c>
      <c r="K685" s="3">
        <f t="shared" si="54"/>
        <v>2190</v>
      </c>
      <c r="L685" s="3"/>
      <c r="M685" s="5"/>
      <c r="N685" s="5"/>
      <c r="O685" s="5"/>
      <c r="P685" s="8"/>
      <c r="Q685" s="6"/>
      <c r="R685" s="5"/>
      <c r="S685" s="6"/>
      <c r="T685" s="3"/>
    </row>
    <row r="686" spans="1:20" s="4" customFormat="1" ht="15" customHeight="1" x14ac:dyDescent="0.2">
      <c r="A686" s="4">
        <v>2009</v>
      </c>
      <c r="B686" s="4" t="s">
        <v>91</v>
      </c>
      <c r="C686" s="4">
        <v>4</v>
      </c>
      <c r="D686" s="4">
        <v>2</v>
      </c>
      <c r="E686" s="4" t="s">
        <v>43</v>
      </c>
      <c r="F686" s="4">
        <v>667</v>
      </c>
      <c r="G686" s="4">
        <v>2005</v>
      </c>
      <c r="H686" s="4" t="s">
        <v>34</v>
      </c>
      <c r="I686" s="5">
        <v>0.9</v>
      </c>
      <c r="J686" s="3">
        <v>1240</v>
      </c>
      <c r="K686" s="3">
        <v>1240</v>
      </c>
      <c r="L686" s="4">
        <v>215</v>
      </c>
      <c r="M686" s="5">
        <v>3</v>
      </c>
      <c r="N686" s="5">
        <f>SUM(M686/I686)</f>
        <v>3.333333333333333</v>
      </c>
      <c r="O686" s="5">
        <f t="shared" ref="O686:O700" si="55">SUM(M686*2000)/J686</f>
        <v>4.838709677419355</v>
      </c>
      <c r="P686" s="8">
        <v>40081</v>
      </c>
      <c r="Q686" s="6">
        <v>25.4</v>
      </c>
      <c r="R686" s="5">
        <v>3.85</v>
      </c>
      <c r="S686" s="6">
        <v>4.8</v>
      </c>
      <c r="T686" s="3"/>
    </row>
    <row r="687" spans="1:20" s="4" customFormat="1" ht="15" customHeight="1" x14ac:dyDescent="0.2">
      <c r="A687" s="4">
        <v>2009</v>
      </c>
      <c r="B687" s="4" t="s">
        <v>91</v>
      </c>
      <c r="C687" s="4">
        <v>4</v>
      </c>
      <c r="D687" s="4">
        <v>3</v>
      </c>
      <c r="E687" s="4" t="s">
        <v>43</v>
      </c>
      <c r="F687" s="4" t="s">
        <v>46</v>
      </c>
      <c r="G687" s="4">
        <v>1990</v>
      </c>
      <c r="H687" s="4" t="s">
        <v>22</v>
      </c>
      <c r="I687" s="5">
        <v>2.71</v>
      </c>
      <c r="J687" s="3">
        <v>3279</v>
      </c>
      <c r="K687" s="3">
        <f>SUM(J687/I687)</f>
        <v>1209.9630996309963</v>
      </c>
      <c r="L687" s="3">
        <v>207</v>
      </c>
      <c r="M687" s="5">
        <v>9.9</v>
      </c>
      <c r="N687" s="5">
        <f>SUM(M687)/I687</f>
        <v>3.6531365313653139</v>
      </c>
      <c r="O687" s="5">
        <f t="shared" si="55"/>
        <v>6.038426349496798</v>
      </c>
      <c r="P687" s="8">
        <v>40085</v>
      </c>
      <c r="Q687" s="6">
        <v>26.9</v>
      </c>
      <c r="R687" s="5">
        <v>3.7</v>
      </c>
      <c r="S687" s="6">
        <v>7.2</v>
      </c>
      <c r="T687" s="3"/>
    </row>
    <row r="688" spans="1:20" s="4" customFormat="1" ht="15" customHeight="1" x14ac:dyDescent="0.2">
      <c r="A688" s="4">
        <v>2009</v>
      </c>
      <c r="B688" s="4" t="s">
        <v>91</v>
      </c>
      <c r="C688" s="4">
        <v>4</v>
      </c>
      <c r="D688" s="4">
        <v>7</v>
      </c>
      <c r="E688" s="4" t="s">
        <v>43</v>
      </c>
      <c r="F688" s="4">
        <v>115</v>
      </c>
      <c r="G688" s="4">
        <v>2005</v>
      </c>
      <c r="H688" s="4" t="s">
        <v>44</v>
      </c>
      <c r="I688" s="5">
        <v>0.53</v>
      </c>
      <c r="J688" s="3">
        <v>965</v>
      </c>
      <c r="K688" s="3"/>
      <c r="L688" s="3">
        <v>190</v>
      </c>
      <c r="M688" s="5">
        <v>2</v>
      </c>
      <c r="N688" s="5">
        <f>SUM(M688/I688)</f>
        <v>3.773584905660377</v>
      </c>
      <c r="O688" s="5">
        <f t="shared" si="55"/>
        <v>4.1450777202072535</v>
      </c>
      <c r="P688" s="8">
        <v>40081</v>
      </c>
      <c r="Q688" s="6">
        <v>25.4</v>
      </c>
      <c r="R688" s="5">
        <v>3.85</v>
      </c>
      <c r="S688" s="6">
        <v>4.8</v>
      </c>
      <c r="T688" s="3"/>
    </row>
    <row r="689" spans="1:20" s="4" customFormat="1" ht="15" customHeight="1" x14ac:dyDescent="0.2">
      <c r="A689" s="4">
        <v>2009</v>
      </c>
      <c r="B689" s="4" t="s">
        <v>91</v>
      </c>
      <c r="C689" s="4">
        <v>4</v>
      </c>
      <c r="D689" s="4">
        <v>8</v>
      </c>
      <c r="E689" s="4" t="s">
        <v>43</v>
      </c>
      <c r="F689" s="4">
        <v>115</v>
      </c>
      <c r="G689" s="4">
        <v>2005</v>
      </c>
      <c r="H689" s="4" t="s">
        <v>44</v>
      </c>
      <c r="I689" s="5">
        <v>1.25</v>
      </c>
      <c r="J689" s="3">
        <v>1990</v>
      </c>
      <c r="K689" s="3"/>
      <c r="L689" s="3">
        <v>165</v>
      </c>
      <c r="M689" s="5">
        <v>4.3</v>
      </c>
      <c r="N689" s="5">
        <f>SUM(M689/I689)</f>
        <v>3.44</v>
      </c>
      <c r="O689" s="5">
        <f t="shared" si="55"/>
        <v>4.3216080402010046</v>
      </c>
      <c r="P689" s="8">
        <v>40081</v>
      </c>
      <c r="Q689" s="6">
        <v>24.8</v>
      </c>
      <c r="R689" s="5">
        <v>3.88</v>
      </c>
      <c r="S689" s="6">
        <v>4.8</v>
      </c>
      <c r="T689" s="3"/>
    </row>
    <row r="690" spans="1:20" s="4" customFormat="1" ht="15" customHeight="1" x14ac:dyDescent="0.2">
      <c r="A690" s="4">
        <v>2009</v>
      </c>
      <c r="B690" s="4" t="s">
        <v>91</v>
      </c>
      <c r="C690" s="4">
        <v>4</v>
      </c>
      <c r="D690" s="4">
        <v>9</v>
      </c>
      <c r="E690" s="4" t="s">
        <v>43</v>
      </c>
      <c r="F690" s="4">
        <v>777</v>
      </c>
      <c r="G690" s="4">
        <v>2005</v>
      </c>
      <c r="H690" s="4" t="s">
        <v>44</v>
      </c>
      <c r="I690" s="5">
        <v>1.63</v>
      </c>
      <c r="J690" s="3">
        <v>2600</v>
      </c>
      <c r="K690" s="3"/>
      <c r="L690" s="3">
        <v>200</v>
      </c>
      <c r="M690" s="5">
        <v>4.8</v>
      </c>
      <c r="N690" s="5">
        <f>SUM(M690/I690)</f>
        <v>2.9447852760736195</v>
      </c>
      <c r="O690" s="5">
        <f t="shared" si="55"/>
        <v>3.6923076923076925</v>
      </c>
      <c r="P690" s="8">
        <v>40081</v>
      </c>
      <c r="Q690" s="6">
        <v>24.4</v>
      </c>
      <c r="R690" s="5">
        <v>3.78</v>
      </c>
      <c r="S690" s="6">
        <v>5.2</v>
      </c>
      <c r="T690" s="3"/>
    </row>
    <row r="691" spans="1:20" s="4" customFormat="1" ht="15" customHeight="1" x14ac:dyDescent="0.2">
      <c r="A691" s="4">
        <v>2009</v>
      </c>
      <c r="B691" s="4" t="s">
        <v>91</v>
      </c>
      <c r="C691" s="4">
        <v>4</v>
      </c>
      <c r="D691" s="4">
        <v>10</v>
      </c>
      <c r="E691" s="4" t="s">
        <v>43</v>
      </c>
      <c r="F691" s="4" t="s">
        <v>46</v>
      </c>
      <c r="G691" s="4">
        <v>1990</v>
      </c>
      <c r="H691" s="4" t="s">
        <v>53</v>
      </c>
      <c r="I691" s="5">
        <v>1.73</v>
      </c>
      <c r="J691" s="3">
        <v>2093</v>
      </c>
      <c r="K691" s="3">
        <f>SUM(J691/I691)</f>
        <v>1209.8265895953757</v>
      </c>
      <c r="L691" s="4">
        <v>203</v>
      </c>
      <c r="M691" s="5">
        <v>7.2</v>
      </c>
      <c r="N691" s="5">
        <f>SUM(M691)/I691</f>
        <v>4.1618497109826595</v>
      </c>
      <c r="O691" s="5">
        <f t="shared" si="55"/>
        <v>6.8800764452938363</v>
      </c>
      <c r="P691" s="8">
        <v>40086</v>
      </c>
      <c r="Q691" s="6">
        <v>27.8</v>
      </c>
      <c r="R691" s="5">
        <v>4.01</v>
      </c>
      <c r="S691" s="6">
        <v>8.4</v>
      </c>
      <c r="T691" s="3"/>
    </row>
    <row r="692" spans="1:20" s="4" customFormat="1" ht="15" customHeight="1" x14ac:dyDescent="0.2">
      <c r="A692" s="4">
        <v>2009</v>
      </c>
      <c r="B692" s="4" t="s">
        <v>91</v>
      </c>
      <c r="C692" s="4">
        <v>4</v>
      </c>
      <c r="D692" s="4">
        <v>11</v>
      </c>
      <c r="E692" s="4" t="s">
        <v>43</v>
      </c>
      <c r="F692" s="4">
        <v>115</v>
      </c>
      <c r="G692" s="4">
        <v>2003</v>
      </c>
      <c r="H692" s="4" t="s">
        <v>34</v>
      </c>
      <c r="I692" s="5">
        <v>1.46</v>
      </c>
      <c r="J692" s="3">
        <v>2600</v>
      </c>
      <c r="K692" s="3">
        <v>1780</v>
      </c>
      <c r="L692" s="4">
        <v>125</v>
      </c>
      <c r="M692" s="5">
        <v>6.2</v>
      </c>
      <c r="N692" s="5">
        <f>SUM(M692/I692)</f>
        <v>4.2465753424657535</v>
      </c>
      <c r="O692" s="5">
        <f t="shared" si="55"/>
        <v>4.7692307692307692</v>
      </c>
      <c r="P692" s="8">
        <v>40086</v>
      </c>
      <c r="Q692" s="6">
        <v>27</v>
      </c>
      <c r="R692" s="5">
        <v>4.1500000000000004</v>
      </c>
      <c r="S692" s="6">
        <v>5.0999999999999996</v>
      </c>
      <c r="T692" s="3"/>
    </row>
    <row r="693" spans="1:20" s="4" customFormat="1" ht="15" customHeight="1" x14ac:dyDescent="0.2">
      <c r="A693" s="4">
        <v>2009</v>
      </c>
      <c r="B693" s="4" t="s">
        <v>91</v>
      </c>
      <c r="C693" s="4">
        <v>5</v>
      </c>
      <c r="D693" s="4">
        <v>5</v>
      </c>
      <c r="E693" s="4" t="s">
        <v>43</v>
      </c>
      <c r="F693" s="4">
        <v>115</v>
      </c>
      <c r="G693" s="4">
        <v>1997</v>
      </c>
      <c r="H693" s="4" t="s">
        <v>54</v>
      </c>
      <c r="I693" s="5">
        <v>1.43</v>
      </c>
      <c r="J693" s="3">
        <v>2450</v>
      </c>
      <c r="K693" s="3">
        <f>SUM(J693/I693)</f>
        <v>1713.2867132867134</v>
      </c>
      <c r="L693" s="4">
        <v>180</v>
      </c>
      <c r="M693" s="5">
        <v>5.2</v>
      </c>
      <c r="N693" s="5">
        <f>SUM(M693)/I693</f>
        <v>3.6363636363636367</v>
      </c>
      <c r="O693" s="5">
        <f t="shared" si="55"/>
        <v>4.2448979591836737</v>
      </c>
      <c r="P693" s="8">
        <v>40086</v>
      </c>
      <c r="Q693" s="6">
        <v>24.8</v>
      </c>
      <c r="R693" s="5">
        <v>3.9</v>
      </c>
      <c r="S693" s="6">
        <v>7.5</v>
      </c>
      <c r="T693" s="3"/>
    </row>
    <row r="694" spans="1:20" s="4" customFormat="1" ht="15" customHeight="1" x14ac:dyDescent="0.2">
      <c r="A694" s="4">
        <v>2009</v>
      </c>
      <c r="B694" s="4" t="s">
        <v>91</v>
      </c>
      <c r="C694" s="4">
        <v>5</v>
      </c>
      <c r="D694" s="4">
        <v>6</v>
      </c>
      <c r="E694" s="4" t="s">
        <v>43</v>
      </c>
      <c r="F694" s="4">
        <v>777</v>
      </c>
      <c r="G694" s="4">
        <v>1997</v>
      </c>
      <c r="H694" s="4" t="s">
        <v>54</v>
      </c>
      <c r="I694" s="5">
        <v>1.87</v>
      </c>
      <c r="J694" s="3">
        <v>3200</v>
      </c>
      <c r="K694" s="3">
        <f>SUM(J694/I694)</f>
        <v>1711.229946524064</v>
      </c>
      <c r="L694" s="3">
        <v>175</v>
      </c>
      <c r="M694" s="5">
        <v>6.6</v>
      </c>
      <c r="N694" s="5">
        <f>SUM(M694)/I694</f>
        <v>3.5294117647058818</v>
      </c>
      <c r="O694" s="5">
        <f t="shared" si="55"/>
        <v>4.125</v>
      </c>
      <c r="P694" s="8">
        <v>40086</v>
      </c>
      <c r="Q694" s="6">
        <v>25</v>
      </c>
      <c r="R694" s="5">
        <v>3.9</v>
      </c>
      <c r="S694" s="6">
        <v>7.7</v>
      </c>
      <c r="T694" s="3"/>
    </row>
    <row r="695" spans="1:20" s="4" customFormat="1" ht="15" customHeight="1" x14ac:dyDescent="0.2">
      <c r="A695" s="4">
        <v>2010</v>
      </c>
      <c r="B695" s="4" t="s">
        <v>91</v>
      </c>
      <c r="C695" s="4">
        <v>3</v>
      </c>
      <c r="D695" s="4">
        <v>1</v>
      </c>
      <c r="E695" s="4" t="s">
        <v>43</v>
      </c>
      <c r="F695" s="4">
        <v>777</v>
      </c>
      <c r="G695" s="4">
        <v>2005</v>
      </c>
      <c r="H695" s="4" t="s">
        <v>44</v>
      </c>
      <c r="I695" s="5">
        <v>1.79</v>
      </c>
      <c r="J695" s="3">
        <v>2895</v>
      </c>
      <c r="K695" s="3">
        <v>1617</v>
      </c>
      <c r="L695" s="4">
        <v>145</v>
      </c>
      <c r="M695" s="5">
        <v>6</v>
      </c>
      <c r="N695" s="5">
        <f>SUM(M695/I695)</f>
        <v>3.3519553072625698</v>
      </c>
      <c r="O695" s="5">
        <f t="shared" si="55"/>
        <v>4.1450777202072535</v>
      </c>
      <c r="P695" s="8">
        <v>40457</v>
      </c>
      <c r="Q695" s="6">
        <v>23.8</v>
      </c>
      <c r="R695" s="5">
        <v>3.33</v>
      </c>
      <c r="S695" s="6">
        <v>9.8000000000000007</v>
      </c>
      <c r="T695" s="3"/>
    </row>
    <row r="696" spans="1:20" s="4" customFormat="1" ht="15" customHeight="1" x14ac:dyDescent="0.2">
      <c r="A696" s="4">
        <v>2010</v>
      </c>
      <c r="B696" s="4" t="s">
        <v>91</v>
      </c>
      <c r="C696" s="4">
        <v>3</v>
      </c>
      <c r="D696" s="4">
        <v>3</v>
      </c>
      <c r="E696" s="4" t="s">
        <v>43</v>
      </c>
      <c r="F696" s="4">
        <v>667</v>
      </c>
      <c r="G696" s="4">
        <v>1996</v>
      </c>
      <c r="H696" s="4" t="s">
        <v>45</v>
      </c>
      <c r="I696" s="5">
        <v>2.4700000000000002</v>
      </c>
      <c r="J696" s="3">
        <v>5000</v>
      </c>
      <c r="K696" s="3">
        <f t="shared" ref="K696:K701" si="56">SUM(J696/I696)</f>
        <v>2024.2914979757084</v>
      </c>
      <c r="L696" s="3">
        <v>155</v>
      </c>
      <c r="M696" s="5">
        <v>11.9</v>
      </c>
      <c r="N696" s="5">
        <f>SUM(M696)/I696</f>
        <v>4.8178137651821862</v>
      </c>
      <c r="O696" s="5">
        <f t="shared" si="55"/>
        <v>4.76</v>
      </c>
      <c r="P696" s="8">
        <v>40463</v>
      </c>
      <c r="Q696" s="6">
        <v>24.2</v>
      </c>
      <c r="R696" s="5">
        <v>3.37</v>
      </c>
      <c r="S696" s="6">
        <v>9.8000000000000007</v>
      </c>
      <c r="T696" s="3"/>
    </row>
    <row r="697" spans="1:20" s="4" customFormat="1" ht="15" customHeight="1" x14ac:dyDescent="0.2">
      <c r="A697" s="4">
        <v>2010</v>
      </c>
      <c r="B697" s="4" t="s">
        <v>91</v>
      </c>
      <c r="C697" s="4">
        <v>3</v>
      </c>
      <c r="D697" s="4">
        <v>5</v>
      </c>
      <c r="E697" s="4" t="s">
        <v>43</v>
      </c>
      <c r="F697" s="4" t="s">
        <v>46</v>
      </c>
      <c r="G697" s="4">
        <v>1990</v>
      </c>
      <c r="H697" s="4" t="s">
        <v>22</v>
      </c>
      <c r="I697" s="5">
        <v>0.91</v>
      </c>
      <c r="J697" s="3">
        <v>1013</v>
      </c>
      <c r="K697" s="3">
        <f t="shared" si="56"/>
        <v>1113.1868131868132</v>
      </c>
      <c r="L697" s="3">
        <v>140</v>
      </c>
      <c r="M697" s="5">
        <v>2.2999999999999998</v>
      </c>
      <c r="N697" s="5">
        <f>SUM(M697)/I697</f>
        <v>2.5274725274725274</v>
      </c>
      <c r="O697" s="5">
        <f t="shared" si="55"/>
        <v>4.5409674234945703</v>
      </c>
      <c r="P697" s="8">
        <v>40459</v>
      </c>
      <c r="Q697" s="6">
        <v>25</v>
      </c>
      <c r="R697" s="5">
        <v>3.09</v>
      </c>
      <c r="S697" s="6">
        <v>10.9</v>
      </c>
      <c r="T697" s="3"/>
    </row>
    <row r="698" spans="1:20" s="4" customFormat="1" ht="15" customHeight="1" x14ac:dyDescent="0.2">
      <c r="A698" s="4">
        <v>2010</v>
      </c>
      <c r="B698" s="4" t="s">
        <v>91</v>
      </c>
      <c r="C698" s="4">
        <v>3</v>
      </c>
      <c r="D698" s="4">
        <v>6</v>
      </c>
      <c r="E698" s="4" t="s">
        <v>43</v>
      </c>
      <c r="F698" s="4" t="s">
        <v>47</v>
      </c>
      <c r="G698" s="4">
        <v>1987</v>
      </c>
      <c r="H698" s="4" t="s">
        <v>22</v>
      </c>
      <c r="I698" s="5">
        <v>0.5</v>
      </c>
      <c r="J698" s="3">
        <v>600</v>
      </c>
      <c r="K698" s="3">
        <f t="shared" si="56"/>
        <v>1200</v>
      </c>
      <c r="L698" s="3">
        <v>145</v>
      </c>
      <c r="M698" s="5">
        <v>1.3</v>
      </c>
      <c r="N698" s="5">
        <f>SUM(M698)/I698</f>
        <v>2.6</v>
      </c>
      <c r="O698" s="5">
        <f t="shared" si="55"/>
        <v>4.333333333333333</v>
      </c>
      <c r="P698" s="8">
        <v>40459</v>
      </c>
      <c r="Q698" s="6">
        <v>25</v>
      </c>
      <c r="R698" s="5">
        <v>3.09</v>
      </c>
      <c r="S698" s="6">
        <v>10.9</v>
      </c>
      <c r="T698" s="3"/>
    </row>
    <row r="699" spans="1:20" s="4" customFormat="1" ht="15" customHeight="1" x14ac:dyDescent="0.2">
      <c r="A699" s="4">
        <v>2010</v>
      </c>
      <c r="B699" s="4" t="s">
        <v>91</v>
      </c>
      <c r="C699" s="4">
        <v>3</v>
      </c>
      <c r="D699" s="4">
        <v>7</v>
      </c>
      <c r="E699" s="4" t="s">
        <v>43</v>
      </c>
      <c r="F699" s="4" t="s">
        <v>48</v>
      </c>
      <c r="G699" s="4">
        <v>1987</v>
      </c>
      <c r="H699" s="4" t="s">
        <v>22</v>
      </c>
      <c r="I699" s="5">
        <v>0.96</v>
      </c>
      <c r="J699" s="3">
        <v>1160</v>
      </c>
      <c r="K699" s="3">
        <f t="shared" si="56"/>
        <v>1208.3333333333335</v>
      </c>
      <c r="L699" s="3">
        <v>140</v>
      </c>
      <c r="M699" s="5">
        <v>2.6</v>
      </c>
      <c r="N699" s="5">
        <f>SUM(M699)/I699</f>
        <v>2.7083333333333335</v>
      </c>
      <c r="O699" s="5">
        <f t="shared" si="55"/>
        <v>4.4827586206896548</v>
      </c>
      <c r="P699" s="8">
        <v>40458</v>
      </c>
      <c r="Q699" s="6">
        <v>25.8</v>
      </c>
      <c r="R699" s="5">
        <v>3.39</v>
      </c>
      <c r="S699" s="6">
        <v>10.6</v>
      </c>
      <c r="T699" s="3"/>
    </row>
    <row r="700" spans="1:20" s="4" customFormat="1" ht="15" customHeight="1" x14ac:dyDescent="0.2">
      <c r="A700" s="4">
        <v>2010</v>
      </c>
      <c r="B700" s="4" t="s">
        <v>91</v>
      </c>
      <c r="C700" s="4">
        <v>3</v>
      </c>
      <c r="D700" s="4">
        <v>8</v>
      </c>
      <c r="E700" s="4" t="s">
        <v>43</v>
      </c>
      <c r="F700" s="4" t="s">
        <v>49</v>
      </c>
      <c r="G700" s="4">
        <v>1975</v>
      </c>
      <c r="H700" s="4" t="s">
        <v>22</v>
      </c>
      <c r="I700" s="5">
        <v>0.54</v>
      </c>
      <c r="J700" s="3">
        <v>219</v>
      </c>
      <c r="K700" s="3">
        <f t="shared" si="56"/>
        <v>405.55555555555554</v>
      </c>
      <c r="L700" s="3">
        <v>148</v>
      </c>
      <c r="M700" s="5">
        <v>2.9</v>
      </c>
      <c r="N700" s="5">
        <f>SUM(M700)/I700</f>
        <v>5.3703703703703702</v>
      </c>
      <c r="O700" s="5">
        <f t="shared" si="55"/>
        <v>26.484018264840184</v>
      </c>
      <c r="P700" s="8">
        <v>40458</v>
      </c>
      <c r="Q700" s="6">
        <v>25.8</v>
      </c>
      <c r="R700" s="5">
        <v>3.39</v>
      </c>
      <c r="S700" s="6">
        <v>10.6</v>
      </c>
      <c r="T700" s="3"/>
    </row>
    <row r="701" spans="1:20" s="4" customFormat="1" ht="15" customHeight="1" x14ac:dyDescent="0.2">
      <c r="A701" s="4">
        <v>2010</v>
      </c>
      <c r="B701" s="4" t="s">
        <v>91</v>
      </c>
      <c r="C701" s="4">
        <v>3</v>
      </c>
      <c r="D701" s="4">
        <v>9</v>
      </c>
      <c r="E701" s="4" t="s">
        <v>43</v>
      </c>
      <c r="F701" s="4" t="s">
        <v>46</v>
      </c>
      <c r="G701" s="4">
        <v>1990</v>
      </c>
      <c r="H701" s="4" t="s">
        <v>51</v>
      </c>
      <c r="I701" s="5">
        <v>0.1</v>
      </c>
      <c r="J701" s="3">
        <v>219</v>
      </c>
      <c r="K701" s="3">
        <f t="shared" si="56"/>
        <v>2190</v>
      </c>
      <c r="L701" s="3"/>
      <c r="M701" s="5"/>
      <c r="N701" s="5"/>
      <c r="O701" s="5"/>
      <c r="P701" s="8"/>
      <c r="Q701" s="6"/>
      <c r="R701" s="5"/>
      <c r="S701" s="6"/>
      <c r="T701" s="3"/>
    </row>
    <row r="702" spans="1:20" s="4" customFormat="1" ht="15" customHeight="1" x14ac:dyDescent="0.2">
      <c r="A702" s="4">
        <v>2010</v>
      </c>
      <c r="B702" s="4" t="s">
        <v>91</v>
      </c>
      <c r="C702" s="4">
        <v>4</v>
      </c>
      <c r="D702" s="4">
        <v>2</v>
      </c>
      <c r="E702" s="4" t="s">
        <v>43</v>
      </c>
      <c r="F702" s="4">
        <v>667</v>
      </c>
      <c r="G702" s="4">
        <v>2005</v>
      </c>
      <c r="H702" s="4" t="s">
        <v>34</v>
      </c>
      <c r="I702" s="5">
        <v>0.9</v>
      </c>
      <c r="J702" s="3">
        <v>1240</v>
      </c>
      <c r="K702" s="3">
        <v>1240</v>
      </c>
      <c r="L702" s="4">
        <v>195</v>
      </c>
      <c r="M702" s="5">
        <v>4</v>
      </c>
      <c r="N702" s="5">
        <f>SUM(M702/I702)</f>
        <v>4.4444444444444446</v>
      </c>
      <c r="O702" s="5">
        <f t="shared" ref="O702:O716" si="57">SUM(M702*2000)/J702</f>
        <v>6.4516129032258061</v>
      </c>
      <c r="P702" s="8">
        <v>40457</v>
      </c>
      <c r="Q702" s="6">
        <v>23.8</v>
      </c>
      <c r="R702" s="5">
        <v>3.34</v>
      </c>
      <c r="S702" s="6">
        <v>8.5</v>
      </c>
      <c r="T702" s="3"/>
    </row>
    <row r="703" spans="1:20" s="4" customFormat="1" ht="15" customHeight="1" x14ac:dyDescent="0.2">
      <c r="A703" s="4">
        <v>2010</v>
      </c>
      <c r="B703" s="4" t="s">
        <v>91</v>
      </c>
      <c r="C703" s="4">
        <v>4</v>
      </c>
      <c r="D703" s="4">
        <v>3</v>
      </c>
      <c r="E703" s="4" t="s">
        <v>43</v>
      </c>
      <c r="F703" s="4" t="s">
        <v>46</v>
      </c>
      <c r="G703" s="4">
        <v>1990</v>
      </c>
      <c r="H703" s="4" t="s">
        <v>22</v>
      </c>
      <c r="I703" s="5">
        <v>2.71</v>
      </c>
      <c r="J703" s="3">
        <v>3279</v>
      </c>
      <c r="K703" s="3">
        <f>SUM(J703/I703)</f>
        <v>1209.9630996309963</v>
      </c>
      <c r="L703" s="3">
        <v>185</v>
      </c>
      <c r="M703" s="5">
        <v>10.3</v>
      </c>
      <c r="N703" s="5">
        <f>SUM(M703)/I703</f>
        <v>3.8007380073800743</v>
      </c>
      <c r="O703" s="5">
        <f t="shared" si="57"/>
        <v>6.2824031716986886</v>
      </c>
      <c r="P703" s="8">
        <v>40476</v>
      </c>
      <c r="Q703" s="6">
        <v>25</v>
      </c>
      <c r="R703" s="5">
        <v>3.09</v>
      </c>
      <c r="S703" s="6">
        <v>10.3</v>
      </c>
      <c r="T703" s="3"/>
    </row>
    <row r="704" spans="1:20" s="4" customFormat="1" ht="15" customHeight="1" x14ac:dyDescent="0.2">
      <c r="A704" s="4">
        <v>2010</v>
      </c>
      <c r="B704" s="4" t="s">
        <v>91</v>
      </c>
      <c r="C704" s="4">
        <v>4</v>
      </c>
      <c r="D704" s="4">
        <v>7</v>
      </c>
      <c r="E704" s="4" t="s">
        <v>43</v>
      </c>
      <c r="F704" s="4">
        <v>115</v>
      </c>
      <c r="G704" s="4">
        <v>2005</v>
      </c>
      <c r="H704" s="4" t="s">
        <v>44</v>
      </c>
      <c r="I704" s="5">
        <v>0.53</v>
      </c>
      <c r="J704" s="3">
        <v>965</v>
      </c>
      <c r="K704" s="3"/>
      <c r="L704" s="3">
        <v>180</v>
      </c>
      <c r="M704" s="5">
        <v>2.4</v>
      </c>
      <c r="N704" s="5">
        <f>SUM(M704/I704)</f>
        <v>4.5283018867924527</v>
      </c>
      <c r="O704" s="5">
        <f t="shared" si="57"/>
        <v>4.9740932642487046</v>
      </c>
      <c r="P704" s="8">
        <v>40457</v>
      </c>
      <c r="Q704" s="6">
        <v>23.8</v>
      </c>
      <c r="R704" s="5">
        <v>3.32</v>
      </c>
      <c r="S704" s="6">
        <v>7.6</v>
      </c>
      <c r="T704" s="3"/>
    </row>
    <row r="705" spans="1:20" s="4" customFormat="1" ht="15" customHeight="1" x14ac:dyDescent="0.2">
      <c r="A705" s="4">
        <v>2010</v>
      </c>
      <c r="B705" s="4" t="s">
        <v>91</v>
      </c>
      <c r="C705" s="4">
        <v>4</v>
      </c>
      <c r="D705" s="4">
        <v>8</v>
      </c>
      <c r="E705" s="4" t="s">
        <v>43</v>
      </c>
      <c r="F705" s="4">
        <v>115</v>
      </c>
      <c r="G705" s="4">
        <v>2005</v>
      </c>
      <c r="H705" s="4" t="s">
        <v>44</v>
      </c>
      <c r="I705" s="5">
        <v>1.25</v>
      </c>
      <c r="J705" s="3">
        <v>1990</v>
      </c>
      <c r="K705" s="3"/>
      <c r="L705" s="3">
        <v>140</v>
      </c>
      <c r="M705" s="5">
        <v>5.8</v>
      </c>
      <c r="N705" s="5">
        <f>SUM(M705/I705)</f>
        <v>4.6399999999999997</v>
      </c>
      <c r="O705" s="5">
        <f t="shared" si="57"/>
        <v>5.8291457286432165</v>
      </c>
      <c r="P705" s="8">
        <v>40457</v>
      </c>
      <c r="Q705" s="6">
        <v>23.8</v>
      </c>
      <c r="R705" s="5">
        <v>3.32</v>
      </c>
      <c r="S705" s="6">
        <v>7.6</v>
      </c>
      <c r="T705" s="3"/>
    </row>
    <row r="706" spans="1:20" s="4" customFormat="1" ht="15" customHeight="1" x14ac:dyDescent="0.2">
      <c r="A706" s="4">
        <v>2010</v>
      </c>
      <c r="B706" s="4" t="s">
        <v>91</v>
      </c>
      <c r="C706" s="4">
        <v>4</v>
      </c>
      <c r="D706" s="4">
        <v>9</v>
      </c>
      <c r="E706" s="4" t="s">
        <v>43</v>
      </c>
      <c r="F706" s="4">
        <v>777</v>
      </c>
      <c r="G706" s="4">
        <v>2005</v>
      </c>
      <c r="H706" s="4" t="s">
        <v>44</v>
      </c>
      <c r="I706" s="5">
        <v>1.63</v>
      </c>
      <c r="J706" s="3">
        <v>2600</v>
      </c>
      <c r="K706" s="3"/>
      <c r="L706" s="3">
        <v>163</v>
      </c>
      <c r="M706" s="5">
        <v>5.4</v>
      </c>
      <c r="N706" s="5">
        <f>SUM(M706/I706)</f>
        <v>3.3128834355828225</v>
      </c>
      <c r="O706" s="5">
        <f t="shared" si="57"/>
        <v>4.1538461538461542</v>
      </c>
      <c r="P706" s="8">
        <v>40457</v>
      </c>
      <c r="Q706" s="6">
        <v>23</v>
      </c>
      <c r="R706" s="5">
        <v>3.2</v>
      </c>
      <c r="S706" s="6">
        <v>10.5</v>
      </c>
      <c r="T706" s="3"/>
    </row>
    <row r="707" spans="1:20" s="4" customFormat="1" ht="15" customHeight="1" x14ac:dyDescent="0.2">
      <c r="A707" s="4">
        <v>2010</v>
      </c>
      <c r="B707" s="4" t="s">
        <v>91</v>
      </c>
      <c r="C707" s="4">
        <v>4</v>
      </c>
      <c r="D707" s="4">
        <v>10</v>
      </c>
      <c r="E707" s="4" t="s">
        <v>43</v>
      </c>
      <c r="F707" s="4" t="s">
        <v>46</v>
      </c>
      <c r="G707" s="4">
        <v>1990</v>
      </c>
      <c r="H707" s="4" t="s">
        <v>53</v>
      </c>
      <c r="I707" s="5">
        <v>1.73</v>
      </c>
      <c r="J707" s="3">
        <v>2093</v>
      </c>
      <c r="K707" s="3">
        <f>SUM(J707/I707)</f>
        <v>1209.8265895953757</v>
      </c>
      <c r="L707" s="4">
        <v>180</v>
      </c>
      <c r="M707" s="5">
        <v>6.3</v>
      </c>
      <c r="N707" s="5">
        <f>SUM(M707)/I707</f>
        <v>3.6416184971098264</v>
      </c>
      <c r="O707" s="5">
        <f t="shared" si="57"/>
        <v>6.0200668896321075</v>
      </c>
      <c r="P707" s="8">
        <v>40458</v>
      </c>
      <c r="Q707" s="6">
        <v>25.8</v>
      </c>
      <c r="R707" s="5">
        <v>3.45</v>
      </c>
      <c r="S707" s="6">
        <v>10.5</v>
      </c>
      <c r="T707" s="3"/>
    </row>
    <row r="708" spans="1:20" s="4" customFormat="1" ht="15" customHeight="1" x14ac:dyDescent="0.2">
      <c r="A708" s="4">
        <v>2010</v>
      </c>
      <c r="B708" s="4" t="s">
        <v>91</v>
      </c>
      <c r="C708" s="4">
        <v>4</v>
      </c>
      <c r="D708" s="4">
        <v>11</v>
      </c>
      <c r="E708" s="4" t="s">
        <v>43</v>
      </c>
      <c r="F708" s="4">
        <v>115</v>
      </c>
      <c r="G708" s="4">
        <v>2003</v>
      </c>
      <c r="H708" s="4" t="s">
        <v>34</v>
      </c>
      <c r="I708" s="5">
        <v>1.46</v>
      </c>
      <c r="J708" s="3">
        <v>2600</v>
      </c>
      <c r="K708" s="3">
        <v>1780</v>
      </c>
      <c r="L708" s="4">
        <v>170</v>
      </c>
      <c r="M708" s="5">
        <v>5.4</v>
      </c>
      <c r="N708" s="5">
        <f>SUM(M708/I708)</f>
        <v>3.6986301369863015</v>
      </c>
      <c r="O708" s="5">
        <f t="shared" si="57"/>
        <v>4.1538461538461542</v>
      </c>
      <c r="P708" s="8">
        <v>40458</v>
      </c>
      <c r="Q708" s="6">
        <v>25.8</v>
      </c>
      <c r="R708" s="5">
        <v>3.43</v>
      </c>
      <c r="S708" s="6">
        <v>11.4</v>
      </c>
      <c r="T708" s="3"/>
    </row>
    <row r="709" spans="1:20" s="4" customFormat="1" ht="15" customHeight="1" x14ac:dyDescent="0.2">
      <c r="A709" s="4">
        <v>2010</v>
      </c>
      <c r="B709" s="4" t="s">
        <v>91</v>
      </c>
      <c r="C709" s="4">
        <v>5</v>
      </c>
      <c r="D709" s="4">
        <v>5</v>
      </c>
      <c r="E709" s="4" t="s">
        <v>43</v>
      </c>
      <c r="F709" s="4">
        <v>115</v>
      </c>
      <c r="G709" s="4">
        <v>1997</v>
      </c>
      <c r="H709" s="4" t="s">
        <v>54</v>
      </c>
      <c r="I709" s="5">
        <v>1.43</v>
      </c>
      <c r="J709" s="3">
        <v>2450</v>
      </c>
      <c r="K709" s="3">
        <f>SUM(J709/I709)</f>
        <v>1713.2867132867134</v>
      </c>
      <c r="L709" s="4">
        <v>135</v>
      </c>
      <c r="M709" s="5">
        <v>4.0999999999999996</v>
      </c>
      <c r="N709" s="5">
        <f>SUM(M709)/I709</f>
        <v>2.8671328671328671</v>
      </c>
      <c r="O709" s="5">
        <f t="shared" si="57"/>
        <v>3.3469387755102042</v>
      </c>
      <c r="P709" s="8">
        <v>40463</v>
      </c>
      <c r="Q709" s="6">
        <v>24</v>
      </c>
      <c r="R709" s="5">
        <v>3.36</v>
      </c>
      <c r="S709" s="6">
        <v>9.5</v>
      </c>
      <c r="T709" s="3"/>
    </row>
    <row r="710" spans="1:20" s="4" customFormat="1" ht="15" customHeight="1" x14ac:dyDescent="0.2">
      <c r="A710" s="4">
        <v>2010</v>
      </c>
      <c r="B710" s="4" t="s">
        <v>91</v>
      </c>
      <c r="C710" s="4">
        <v>5</v>
      </c>
      <c r="D710" s="4">
        <v>6</v>
      </c>
      <c r="E710" s="4" t="s">
        <v>43</v>
      </c>
      <c r="F710" s="4">
        <v>777</v>
      </c>
      <c r="G710" s="4">
        <v>1997</v>
      </c>
      <c r="H710" s="4" t="s">
        <v>54</v>
      </c>
      <c r="I710" s="5">
        <v>1.84</v>
      </c>
      <c r="J710" s="3">
        <v>3200</v>
      </c>
      <c r="K710" s="3">
        <f>SUM(J710/I710)</f>
        <v>1739.1304347826085</v>
      </c>
      <c r="L710" s="3">
        <v>150</v>
      </c>
      <c r="M710" s="5">
        <v>5.4</v>
      </c>
      <c r="N710" s="5">
        <f>SUM(M710)/I710</f>
        <v>2.9347826086956523</v>
      </c>
      <c r="O710" s="5">
        <f t="shared" si="57"/>
        <v>3.375</v>
      </c>
      <c r="P710" s="8">
        <v>40463</v>
      </c>
      <c r="Q710" s="6">
        <v>24</v>
      </c>
      <c r="R710" s="5">
        <v>3.33</v>
      </c>
      <c r="S710" s="6">
        <v>10.1</v>
      </c>
      <c r="T710" s="3"/>
    </row>
    <row r="711" spans="1:20" s="4" customFormat="1" ht="15" customHeight="1" x14ac:dyDescent="0.2">
      <c r="A711" s="4">
        <v>2011</v>
      </c>
      <c r="B711" s="4" t="s">
        <v>91</v>
      </c>
      <c r="C711" s="4">
        <v>3</v>
      </c>
      <c r="D711" s="4">
        <v>1</v>
      </c>
      <c r="E711" s="4" t="s">
        <v>43</v>
      </c>
      <c r="F711" s="4">
        <v>777</v>
      </c>
      <c r="G711" s="4">
        <v>2005</v>
      </c>
      <c r="H711" s="4" t="s">
        <v>44</v>
      </c>
      <c r="I711" s="5">
        <v>1.79</v>
      </c>
      <c r="J711" s="3">
        <v>2895</v>
      </c>
      <c r="K711" s="3">
        <v>1617</v>
      </c>
      <c r="L711" s="4">
        <v>238</v>
      </c>
      <c r="M711" s="5">
        <v>8.33</v>
      </c>
      <c r="N711" s="5">
        <f>SUM(M711/I711)</f>
        <v>4.6536312849162007</v>
      </c>
      <c r="O711" s="5">
        <f t="shared" si="57"/>
        <v>5.7547495682210705</v>
      </c>
      <c r="P711" s="8">
        <v>40833</v>
      </c>
      <c r="Q711" s="6">
        <v>23</v>
      </c>
      <c r="R711" s="5">
        <v>3.36</v>
      </c>
      <c r="S711" s="6">
        <v>6.2</v>
      </c>
      <c r="T711" s="3"/>
    </row>
    <row r="712" spans="1:20" s="4" customFormat="1" ht="15" customHeight="1" x14ac:dyDescent="0.2">
      <c r="A712" s="4">
        <v>2011</v>
      </c>
      <c r="B712" s="4" t="s">
        <v>91</v>
      </c>
      <c r="C712" s="4">
        <v>3</v>
      </c>
      <c r="D712" s="4">
        <v>3</v>
      </c>
      <c r="E712" s="4" t="s">
        <v>43</v>
      </c>
      <c r="F712" s="4">
        <v>667</v>
      </c>
      <c r="G712" s="4">
        <v>1996</v>
      </c>
      <c r="H712" s="4" t="s">
        <v>45</v>
      </c>
      <c r="I712" s="5">
        <v>2.4700000000000002</v>
      </c>
      <c r="J712" s="3">
        <v>5000</v>
      </c>
      <c r="K712" s="3">
        <f t="shared" ref="K712:K717" si="58">SUM(J712/I712)</f>
        <v>2024.2914979757084</v>
      </c>
      <c r="L712" s="3">
        <v>230</v>
      </c>
      <c r="M712" s="5">
        <v>12.52</v>
      </c>
      <c r="N712" s="5">
        <f>SUM(M712)/I712</f>
        <v>5.0688259109311735</v>
      </c>
      <c r="O712" s="5">
        <f t="shared" si="57"/>
        <v>5.008</v>
      </c>
      <c r="P712" s="8">
        <v>40833</v>
      </c>
      <c r="Q712" s="6">
        <v>23.2</v>
      </c>
      <c r="R712" s="5">
        <v>3.56</v>
      </c>
      <c r="S712" s="6">
        <v>7.5</v>
      </c>
      <c r="T712" s="3"/>
    </row>
    <row r="713" spans="1:20" s="4" customFormat="1" ht="15" customHeight="1" x14ac:dyDescent="0.2">
      <c r="A713" s="4">
        <v>2011</v>
      </c>
      <c r="B713" s="4" t="s">
        <v>91</v>
      </c>
      <c r="C713" s="4">
        <v>3</v>
      </c>
      <c r="D713" s="4">
        <v>5</v>
      </c>
      <c r="E713" s="4" t="s">
        <v>43</v>
      </c>
      <c r="F713" s="4" t="s">
        <v>46</v>
      </c>
      <c r="G713" s="4">
        <v>1990</v>
      </c>
      <c r="H713" s="4" t="s">
        <v>22</v>
      </c>
      <c r="I713" s="5">
        <v>0.91</v>
      </c>
      <c r="J713" s="3">
        <v>1013</v>
      </c>
      <c r="K713" s="3">
        <f t="shared" si="58"/>
        <v>1113.1868131868132</v>
      </c>
      <c r="L713" s="3">
        <v>245</v>
      </c>
      <c r="M713" s="5">
        <v>3.69</v>
      </c>
      <c r="N713" s="5">
        <f>SUM(M713)/I713</f>
        <v>4.0549450549450547</v>
      </c>
      <c r="O713" s="5">
        <f t="shared" si="57"/>
        <v>7.285291214215202</v>
      </c>
      <c r="P713" s="8">
        <v>40822</v>
      </c>
      <c r="Q713" s="6">
        <v>22.6</v>
      </c>
      <c r="R713" s="5">
        <v>3.38</v>
      </c>
      <c r="S713" s="6">
        <v>7.1</v>
      </c>
      <c r="T713" s="3"/>
    </row>
    <row r="714" spans="1:20" s="4" customFormat="1" ht="15" customHeight="1" x14ac:dyDescent="0.2">
      <c r="A714" s="4">
        <v>2011</v>
      </c>
      <c r="B714" s="4" t="s">
        <v>91</v>
      </c>
      <c r="C714" s="4">
        <v>3</v>
      </c>
      <c r="D714" s="4">
        <v>6</v>
      </c>
      <c r="E714" s="4" t="s">
        <v>43</v>
      </c>
      <c r="F714" s="4" t="s">
        <v>47</v>
      </c>
      <c r="G714" s="4">
        <v>1987</v>
      </c>
      <c r="H714" s="4" t="s">
        <v>22</v>
      </c>
      <c r="I714" s="5">
        <v>0.5</v>
      </c>
      <c r="J714" s="3">
        <v>600</v>
      </c>
      <c r="K714" s="3">
        <f t="shared" si="58"/>
        <v>1200</v>
      </c>
      <c r="L714" s="3">
        <v>200</v>
      </c>
      <c r="M714" s="5">
        <v>1.42</v>
      </c>
      <c r="N714" s="5">
        <f>SUM(M714)/I714</f>
        <v>2.84</v>
      </c>
      <c r="O714" s="5">
        <f t="shared" si="57"/>
        <v>4.7333333333333334</v>
      </c>
      <c r="P714" s="8">
        <v>40829</v>
      </c>
      <c r="Q714" s="6">
        <v>22.6</v>
      </c>
      <c r="R714" s="5">
        <v>3.44</v>
      </c>
      <c r="S714" s="6">
        <v>7.2</v>
      </c>
      <c r="T714" s="3"/>
    </row>
    <row r="715" spans="1:20" s="4" customFormat="1" ht="15" customHeight="1" x14ac:dyDescent="0.2">
      <c r="A715" s="4">
        <v>2011</v>
      </c>
      <c r="B715" s="4" t="s">
        <v>91</v>
      </c>
      <c r="C715" s="4">
        <v>3</v>
      </c>
      <c r="D715" s="4">
        <v>7</v>
      </c>
      <c r="E715" s="4" t="s">
        <v>43</v>
      </c>
      <c r="F715" s="4" t="s">
        <v>48</v>
      </c>
      <c r="G715" s="4">
        <v>1987</v>
      </c>
      <c r="H715" s="4" t="s">
        <v>22</v>
      </c>
      <c r="I715" s="5">
        <v>0.96</v>
      </c>
      <c r="J715" s="3">
        <v>1160</v>
      </c>
      <c r="K715" s="3">
        <f t="shared" si="58"/>
        <v>1208.3333333333335</v>
      </c>
      <c r="L715" s="3">
        <v>205</v>
      </c>
      <c r="M715" s="5">
        <v>2.08</v>
      </c>
      <c r="N715" s="5">
        <f>SUM(M715)/I715</f>
        <v>2.166666666666667</v>
      </c>
      <c r="O715" s="5">
        <f t="shared" si="57"/>
        <v>3.5862068965517242</v>
      </c>
      <c r="P715" s="8">
        <v>40829</v>
      </c>
      <c r="Q715" s="6">
        <v>23</v>
      </c>
      <c r="R715" s="5">
        <v>3.54</v>
      </c>
      <c r="S715" s="6">
        <v>6.2</v>
      </c>
      <c r="T715" s="3"/>
    </row>
    <row r="716" spans="1:20" s="4" customFormat="1" ht="15" customHeight="1" x14ac:dyDescent="0.2">
      <c r="A716" s="4">
        <v>2011</v>
      </c>
      <c r="B716" s="4" t="s">
        <v>91</v>
      </c>
      <c r="C716" s="4">
        <v>3</v>
      </c>
      <c r="D716" s="4">
        <v>8</v>
      </c>
      <c r="E716" s="4" t="s">
        <v>43</v>
      </c>
      <c r="F716" s="4" t="s">
        <v>49</v>
      </c>
      <c r="G716" s="4">
        <v>1975</v>
      </c>
      <c r="H716" s="4" t="s">
        <v>22</v>
      </c>
      <c r="I716" s="5">
        <v>0.54</v>
      </c>
      <c r="J716" s="3">
        <v>219</v>
      </c>
      <c r="K716" s="3">
        <f t="shared" si="58"/>
        <v>405.55555555555554</v>
      </c>
      <c r="L716" s="3">
        <v>225</v>
      </c>
      <c r="M716" s="5">
        <v>2.62</v>
      </c>
      <c r="N716" s="5">
        <f>SUM(M716)/I716</f>
        <v>4.8518518518518521</v>
      </c>
      <c r="O716" s="5">
        <f t="shared" si="57"/>
        <v>23.926940639269407</v>
      </c>
      <c r="P716" s="8">
        <v>40829</v>
      </c>
      <c r="Q716" s="6">
        <v>23</v>
      </c>
      <c r="R716" s="5">
        <v>3.38</v>
      </c>
      <c r="S716" s="6">
        <v>6.6</v>
      </c>
      <c r="T716" s="3"/>
    </row>
    <row r="717" spans="1:20" s="4" customFormat="1" ht="15" customHeight="1" x14ac:dyDescent="0.2">
      <c r="A717" s="4">
        <v>2011</v>
      </c>
      <c r="B717" s="4" t="s">
        <v>91</v>
      </c>
      <c r="C717" s="4">
        <v>3</v>
      </c>
      <c r="D717" s="4">
        <v>9</v>
      </c>
      <c r="E717" s="4" t="s">
        <v>43</v>
      </c>
      <c r="F717" s="4" t="s">
        <v>46</v>
      </c>
      <c r="G717" s="4">
        <v>1990</v>
      </c>
      <c r="H717" s="4" t="s">
        <v>52</v>
      </c>
      <c r="I717" s="5">
        <v>0.1</v>
      </c>
      <c r="J717" s="3">
        <v>219</v>
      </c>
      <c r="K717" s="3">
        <f t="shared" si="58"/>
        <v>2190</v>
      </c>
      <c r="L717" s="3"/>
      <c r="M717" s="5"/>
      <c r="N717" s="5"/>
      <c r="O717" s="5"/>
      <c r="P717" s="8"/>
      <c r="Q717" s="6"/>
      <c r="R717" s="5"/>
      <c r="S717" s="6"/>
      <c r="T717" s="3"/>
    </row>
    <row r="718" spans="1:20" s="4" customFormat="1" ht="15" customHeight="1" x14ac:dyDescent="0.2">
      <c r="A718" s="4">
        <v>2011</v>
      </c>
      <c r="B718" s="4" t="s">
        <v>91</v>
      </c>
      <c r="C718" s="4">
        <v>4</v>
      </c>
      <c r="D718" s="4">
        <v>2</v>
      </c>
      <c r="E718" s="4" t="s">
        <v>43</v>
      </c>
      <c r="F718" s="4">
        <v>667</v>
      </c>
      <c r="G718" s="4">
        <v>2005</v>
      </c>
      <c r="H718" s="4" t="s">
        <v>34</v>
      </c>
      <c r="I718" s="5">
        <v>0.9</v>
      </c>
      <c r="J718" s="3">
        <v>1240</v>
      </c>
      <c r="K718" s="3">
        <v>1240</v>
      </c>
      <c r="L718" s="4">
        <v>300</v>
      </c>
      <c r="M718" s="5">
        <v>4.45</v>
      </c>
      <c r="N718" s="5">
        <f>SUM(M718/I718)</f>
        <v>4.9444444444444446</v>
      </c>
      <c r="O718" s="5">
        <f t="shared" ref="O718:O732" si="59">SUM(M718*2000)/J718</f>
        <v>7.17741935483871</v>
      </c>
      <c r="P718" s="8">
        <v>40833</v>
      </c>
      <c r="Q718" s="6">
        <v>23</v>
      </c>
      <c r="R718" s="5">
        <v>3.38</v>
      </c>
      <c r="S718" s="6">
        <v>6.6</v>
      </c>
      <c r="T718" s="3"/>
    </row>
    <row r="719" spans="1:20" s="4" customFormat="1" ht="15" customHeight="1" x14ac:dyDescent="0.2">
      <c r="A719" s="4">
        <v>2011</v>
      </c>
      <c r="B719" s="4" t="s">
        <v>91</v>
      </c>
      <c r="C719" s="4">
        <v>4</v>
      </c>
      <c r="D719" s="4">
        <v>3</v>
      </c>
      <c r="E719" s="4" t="s">
        <v>43</v>
      </c>
      <c r="F719" s="4" t="s">
        <v>46</v>
      </c>
      <c r="G719" s="4">
        <v>1990</v>
      </c>
      <c r="H719" s="4" t="s">
        <v>22</v>
      </c>
      <c r="I719" s="5">
        <v>2.71</v>
      </c>
      <c r="J719" s="3">
        <v>3279</v>
      </c>
      <c r="K719" s="3">
        <f>SUM(J719/I719)</f>
        <v>1209.9630996309963</v>
      </c>
      <c r="L719" s="3">
        <v>265</v>
      </c>
      <c r="M719" s="5">
        <v>7.81</v>
      </c>
      <c r="N719" s="5">
        <f>SUM(M719)/I719</f>
        <v>2.8819188191881917</v>
      </c>
      <c r="O719" s="5">
        <f t="shared" si="59"/>
        <v>4.7636474534919184</v>
      </c>
      <c r="P719" s="8">
        <v>40829</v>
      </c>
      <c r="Q719" s="6">
        <v>23.2</v>
      </c>
      <c r="R719" s="5">
        <v>3.48</v>
      </c>
      <c r="S719" s="6">
        <v>6.2</v>
      </c>
      <c r="T719" s="3"/>
    </row>
    <row r="720" spans="1:20" s="4" customFormat="1" ht="15" customHeight="1" x14ac:dyDescent="0.2">
      <c r="A720" s="4">
        <v>2011</v>
      </c>
      <c r="B720" s="4" t="s">
        <v>91</v>
      </c>
      <c r="C720" s="4">
        <v>4</v>
      </c>
      <c r="D720" s="4">
        <v>7</v>
      </c>
      <c r="E720" s="4" t="s">
        <v>43</v>
      </c>
      <c r="F720" s="4">
        <v>115</v>
      </c>
      <c r="G720" s="4">
        <v>2005</v>
      </c>
      <c r="H720" s="4" t="s">
        <v>44</v>
      </c>
      <c r="I720" s="5">
        <v>0.53</v>
      </c>
      <c r="J720" s="3">
        <v>965</v>
      </c>
      <c r="K720" s="3"/>
      <c r="L720" s="3">
        <v>283</v>
      </c>
      <c r="M720" s="5">
        <v>2.4300000000000002</v>
      </c>
      <c r="N720" s="5">
        <f>SUM(M720/I720)</f>
        <v>4.5849056603773581</v>
      </c>
      <c r="O720" s="5">
        <f t="shared" si="59"/>
        <v>5.0362694300518136</v>
      </c>
      <c r="P720" s="8">
        <v>40833</v>
      </c>
      <c r="Q720" s="6">
        <v>23</v>
      </c>
      <c r="R720" s="5">
        <v>3.54</v>
      </c>
      <c r="S720" s="6">
        <v>7.5</v>
      </c>
      <c r="T720" s="3"/>
    </row>
    <row r="721" spans="1:20" s="4" customFormat="1" ht="15" customHeight="1" x14ac:dyDescent="0.2">
      <c r="A721" s="4">
        <v>2011</v>
      </c>
      <c r="B721" s="4" t="s">
        <v>91</v>
      </c>
      <c r="C721" s="4">
        <v>4</v>
      </c>
      <c r="D721" s="4">
        <v>8</v>
      </c>
      <c r="E721" s="4" t="s">
        <v>43</v>
      </c>
      <c r="F721" s="4">
        <v>115</v>
      </c>
      <c r="G721" s="4">
        <v>2005</v>
      </c>
      <c r="H721" s="4" t="s">
        <v>44</v>
      </c>
      <c r="I721" s="5">
        <v>1.25</v>
      </c>
      <c r="J721" s="3">
        <v>1990</v>
      </c>
      <c r="K721" s="3"/>
      <c r="L721" s="3">
        <v>290</v>
      </c>
      <c r="M721" s="5">
        <v>5.29</v>
      </c>
      <c r="N721" s="5">
        <f>SUM(M721/I721)</f>
        <v>4.2320000000000002</v>
      </c>
      <c r="O721" s="5">
        <f t="shared" si="59"/>
        <v>5.316582914572864</v>
      </c>
      <c r="P721" s="8">
        <v>40833</v>
      </c>
      <c r="Q721" s="6">
        <v>22.8</v>
      </c>
      <c r="R721" s="5">
        <v>3.41</v>
      </c>
      <c r="S721" s="6">
        <v>6.4</v>
      </c>
      <c r="T721" s="3"/>
    </row>
    <row r="722" spans="1:20" s="4" customFormat="1" ht="15" customHeight="1" x14ac:dyDescent="0.2">
      <c r="A722" s="4">
        <v>2011</v>
      </c>
      <c r="B722" s="4" t="s">
        <v>91</v>
      </c>
      <c r="C722" s="4">
        <v>4</v>
      </c>
      <c r="D722" s="4">
        <v>9</v>
      </c>
      <c r="E722" s="4" t="s">
        <v>43</v>
      </c>
      <c r="F722" s="4">
        <v>777</v>
      </c>
      <c r="G722" s="4">
        <v>2005</v>
      </c>
      <c r="H722" s="4" t="s">
        <v>44</v>
      </c>
      <c r="I722" s="5">
        <v>1.63</v>
      </c>
      <c r="J722" s="3">
        <v>2600</v>
      </c>
      <c r="K722" s="3"/>
      <c r="L722" s="3">
        <v>210</v>
      </c>
      <c r="M722" s="5">
        <v>7.12</v>
      </c>
      <c r="N722" s="5">
        <f>SUM(M722/I722)</f>
        <v>4.368098159509203</v>
      </c>
      <c r="O722" s="5">
        <f t="shared" si="59"/>
        <v>5.476923076923077</v>
      </c>
      <c r="P722" s="8">
        <v>40833</v>
      </c>
      <c r="Q722" s="6">
        <v>23</v>
      </c>
      <c r="R722" s="5">
        <v>3.52</v>
      </c>
      <c r="S722" s="6">
        <v>7.7</v>
      </c>
      <c r="T722" s="3"/>
    </row>
    <row r="723" spans="1:20" s="4" customFormat="1" ht="15" customHeight="1" x14ac:dyDescent="0.2">
      <c r="A723" s="4">
        <v>2011</v>
      </c>
      <c r="B723" s="4" t="s">
        <v>91</v>
      </c>
      <c r="C723" s="4">
        <v>4</v>
      </c>
      <c r="D723" s="4">
        <v>10</v>
      </c>
      <c r="E723" s="4" t="s">
        <v>43</v>
      </c>
      <c r="F723" s="4" t="s">
        <v>46</v>
      </c>
      <c r="G723" s="4">
        <v>1990</v>
      </c>
      <c r="H723" s="4" t="s">
        <v>53</v>
      </c>
      <c r="I723" s="5">
        <v>1.73</v>
      </c>
      <c r="J723" s="3">
        <v>2093</v>
      </c>
      <c r="K723" s="3">
        <f>SUM(J723/I723)</f>
        <v>1209.8265895953757</v>
      </c>
      <c r="L723" s="4">
        <v>260</v>
      </c>
      <c r="M723" s="5">
        <v>6.53</v>
      </c>
      <c r="N723" s="5">
        <f>SUM(M723)/I723</f>
        <v>3.7745664739884397</v>
      </c>
      <c r="O723" s="5">
        <f t="shared" si="59"/>
        <v>6.2398471094123265</v>
      </c>
      <c r="P723" s="8">
        <v>40836</v>
      </c>
      <c r="Q723" s="6">
        <v>23.8</v>
      </c>
      <c r="R723" s="5">
        <v>3.63</v>
      </c>
      <c r="S723" s="6">
        <v>6.75</v>
      </c>
      <c r="T723" s="3"/>
    </row>
    <row r="724" spans="1:20" s="4" customFormat="1" ht="15" customHeight="1" x14ac:dyDescent="0.2">
      <c r="A724" s="4">
        <v>2011</v>
      </c>
      <c r="B724" s="4" t="s">
        <v>91</v>
      </c>
      <c r="C724" s="4">
        <v>4</v>
      </c>
      <c r="D724" s="4">
        <v>11</v>
      </c>
      <c r="E724" s="4" t="s">
        <v>43</v>
      </c>
      <c r="F724" s="4">
        <v>115</v>
      </c>
      <c r="G724" s="4">
        <v>2003</v>
      </c>
      <c r="H724" s="4" t="s">
        <v>34</v>
      </c>
      <c r="I724" s="5">
        <v>1.46</v>
      </c>
      <c r="J724" s="3">
        <v>2600</v>
      </c>
      <c r="K724" s="3">
        <v>1780</v>
      </c>
      <c r="L724" s="4">
        <v>202.5</v>
      </c>
      <c r="M724" s="5">
        <v>5.26</v>
      </c>
      <c r="N724" s="5">
        <f>SUM(M724/I724)</f>
        <v>3.602739726027397</v>
      </c>
      <c r="O724" s="5">
        <f t="shared" si="59"/>
        <v>4.046153846153846</v>
      </c>
      <c r="P724" s="8">
        <v>40836</v>
      </c>
      <c r="Q724" s="6">
        <v>23.2</v>
      </c>
      <c r="R724" s="5">
        <v>3.65</v>
      </c>
      <c r="S724" s="6">
        <v>6.4</v>
      </c>
      <c r="T724" s="3"/>
    </row>
    <row r="725" spans="1:20" s="4" customFormat="1" ht="15" customHeight="1" x14ac:dyDescent="0.2">
      <c r="A725" s="4">
        <v>2011</v>
      </c>
      <c r="B725" s="4" t="s">
        <v>91</v>
      </c>
      <c r="C725" s="4">
        <v>5</v>
      </c>
      <c r="D725" s="4">
        <v>5</v>
      </c>
      <c r="E725" s="4" t="s">
        <v>43</v>
      </c>
      <c r="F725" s="4">
        <v>115</v>
      </c>
      <c r="G725" s="4">
        <v>1997</v>
      </c>
      <c r="H725" s="4" t="s">
        <v>54</v>
      </c>
      <c r="I725" s="5">
        <v>1.43</v>
      </c>
      <c r="J725" s="3">
        <v>2450</v>
      </c>
      <c r="K725" s="3">
        <f>SUM(J725/I725)</f>
        <v>1713.2867132867134</v>
      </c>
      <c r="M725" s="5">
        <v>4.76</v>
      </c>
      <c r="N725" s="5">
        <f>SUM(M725)/I725</f>
        <v>3.3286713286713288</v>
      </c>
      <c r="O725" s="5">
        <f t="shared" si="59"/>
        <v>3.8857142857142857</v>
      </c>
      <c r="P725" s="8">
        <v>40847</v>
      </c>
      <c r="Q725" s="6">
        <v>22.9</v>
      </c>
      <c r="R725" s="5">
        <v>3.31</v>
      </c>
      <c r="S725" s="6">
        <v>6.7</v>
      </c>
      <c r="T725" s="3"/>
    </row>
    <row r="726" spans="1:20" s="4" customFormat="1" ht="15" customHeight="1" x14ac:dyDescent="0.2">
      <c r="A726" s="4">
        <v>2011</v>
      </c>
      <c r="B726" s="4" t="s">
        <v>91</v>
      </c>
      <c r="C726" s="4">
        <v>5</v>
      </c>
      <c r="D726" s="4">
        <v>6</v>
      </c>
      <c r="E726" s="4" t="s">
        <v>43</v>
      </c>
      <c r="F726" s="4">
        <v>777</v>
      </c>
      <c r="G726" s="4">
        <v>1997</v>
      </c>
      <c r="H726" s="4" t="s">
        <v>54</v>
      </c>
      <c r="I726" s="5">
        <v>1.84</v>
      </c>
      <c r="J726" s="3">
        <v>3200</v>
      </c>
      <c r="K726" s="3">
        <f>SUM(J726/I726)</f>
        <v>1739.1304347826085</v>
      </c>
      <c r="L726" s="3">
        <v>220</v>
      </c>
      <c r="M726" s="5">
        <v>8.17</v>
      </c>
      <c r="N726" s="5">
        <f>SUM(M726)/I726</f>
        <v>4.4402173913043477</v>
      </c>
      <c r="O726" s="5">
        <f t="shared" si="59"/>
        <v>5.1062500000000002</v>
      </c>
      <c r="P726" s="8">
        <v>40847</v>
      </c>
      <c r="Q726" s="6">
        <v>23.2</v>
      </c>
      <c r="R726" s="5">
        <v>3.27</v>
      </c>
      <c r="S726" s="6">
        <v>7</v>
      </c>
      <c r="T726" s="3"/>
    </row>
    <row r="727" spans="1:20" s="4" customFormat="1" ht="15" customHeight="1" x14ac:dyDescent="0.2">
      <c r="A727" s="4">
        <v>2012</v>
      </c>
      <c r="B727" s="4" t="s">
        <v>91</v>
      </c>
      <c r="C727" s="4">
        <v>3</v>
      </c>
      <c r="D727" s="4">
        <v>1</v>
      </c>
      <c r="E727" s="4" t="s">
        <v>43</v>
      </c>
      <c r="F727" s="4">
        <v>777</v>
      </c>
      <c r="G727" s="4">
        <v>2005</v>
      </c>
      <c r="H727" s="4" t="s">
        <v>44</v>
      </c>
      <c r="I727" s="5">
        <v>1.79</v>
      </c>
      <c r="J727" s="3">
        <v>2895</v>
      </c>
      <c r="K727" s="3">
        <v>1617</v>
      </c>
      <c r="L727" s="4">
        <v>140</v>
      </c>
      <c r="M727" s="5">
        <v>6.63</v>
      </c>
      <c r="N727" s="5">
        <f>SUM(M727/I727)</f>
        <v>3.7039106145251397</v>
      </c>
      <c r="O727" s="5">
        <f t="shared" si="59"/>
        <v>4.5803108808290158</v>
      </c>
      <c r="P727" s="8">
        <v>41186</v>
      </c>
      <c r="Q727" s="6">
        <v>23.4</v>
      </c>
      <c r="R727" s="5">
        <v>3.38</v>
      </c>
      <c r="S727" s="6">
        <v>6.5</v>
      </c>
      <c r="T727" s="3"/>
    </row>
    <row r="728" spans="1:20" s="4" customFormat="1" ht="15" customHeight="1" x14ac:dyDescent="0.2">
      <c r="A728" s="4">
        <v>2012</v>
      </c>
      <c r="B728" s="4" t="s">
        <v>91</v>
      </c>
      <c r="C728" s="4">
        <v>3</v>
      </c>
      <c r="D728" s="4">
        <v>3</v>
      </c>
      <c r="E728" s="4" t="s">
        <v>43</v>
      </c>
      <c r="F728" s="4">
        <v>667</v>
      </c>
      <c r="G728" s="4">
        <v>1996</v>
      </c>
      <c r="H728" s="4" t="s">
        <v>45</v>
      </c>
      <c r="I728" s="5">
        <v>2.4700000000000002</v>
      </c>
      <c r="J728" s="3">
        <v>5000</v>
      </c>
      <c r="K728" s="3">
        <f t="shared" ref="K728:K733" si="60">SUM(J728/I728)</f>
        <v>2024.2914979757084</v>
      </c>
      <c r="L728" s="3">
        <v>140</v>
      </c>
      <c r="M728" s="5">
        <v>8.5</v>
      </c>
      <c r="N728" s="5">
        <f>SUM(M728)/I728</f>
        <v>3.4412955465587043</v>
      </c>
      <c r="O728" s="5">
        <f t="shared" si="59"/>
        <v>3.4</v>
      </c>
      <c r="P728" s="8">
        <v>41186</v>
      </c>
      <c r="Q728" s="6">
        <v>24.8</v>
      </c>
      <c r="R728" s="5">
        <v>3.52</v>
      </c>
      <c r="S728" s="6">
        <v>5.44</v>
      </c>
      <c r="T728" s="3"/>
    </row>
    <row r="729" spans="1:20" s="4" customFormat="1" ht="15" customHeight="1" x14ac:dyDescent="0.2">
      <c r="A729" s="4">
        <v>2012</v>
      </c>
      <c r="B729" s="4" t="s">
        <v>91</v>
      </c>
      <c r="C729" s="4">
        <v>3</v>
      </c>
      <c r="D729" s="4">
        <v>5</v>
      </c>
      <c r="E729" s="4" t="s">
        <v>43</v>
      </c>
      <c r="F729" s="4" t="s">
        <v>46</v>
      </c>
      <c r="G729" s="4">
        <v>1990</v>
      </c>
      <c r="H729" s="4" t="s">
        <v>22</v>
      </c>
      <c r="I729" s="5">
        <v>0.91</v>
      </c>
      <c r="J729" s="3">
        <v>1013</v>
      </c>
      <c r="K729" s="3">
        <f t="shared" si="60"/>
        <v>1113.1868131868132</v>
      </c>
      <c r="L729" s="3">
        <v>185</v>
      </c>
      <c r="M729" s="5">
        <v>3.15</v>
      </c>
      <c r="N729" s="5">
        <f>SUM(M729)/I729</f>
        <v>3.4615384615384612</v>
      </c>
      <c r="O729" s="5">
        <f t="shared" si="59"/>
        <v>6.2191510365251723</v>
      </c>
      <c r="P729" s="8">
        <v>41187</v>
      </c>
      <c r="Q729" s="6">
        <v>24.4</v>
      </c>
      <c r="R729" s="5">
        <v>3.45</v>
      </c>
      <c r="S729" s="6">
        <v>5.85</v>
      </c>
      <c r="T729" s="3"/>
    </row>
    <row r="730" spans="1:20" s="4" customFormat="1" ht="15" customHeight="1" x14ac:dyDescent="0.2">
      <c r="A730" s="4">
        <v>2012</v>
      </c>
      <c r="B730" s="4" t="s">
        <v>91</v>
      </c>
      <c r="C730" s="4">
        <v>3</v>
      </c>
      <c r="D730" s="4">
        <v>6</v>
      </c>
      <c r="E730" s="4" t="s">
        <v>43</v>
      </c>
      <c r="F730" s="4" t="s">
        <v>47</v>
      </c>
      <c r="G730" s="4">
        <v>1987</v>
      </c>
      <c r="H730" s="4" t="s">
        <v>22</v>
      </c>
      <c r="I730" s="5">
        <v>0.5</v>
      </c>
      <c r="J730" s="3">
        <v>600</v>
      </c>
      <c r="K730" s="3">
        <f t="shared" si="60"/>
        <v>1200</v>
      </c>
      <c r="L730" s="3">
        <v>145</v>
      </c>
      <c r="M730" s="5">
        <v>1.54</v>
      </c>
      <c r="N730" s="5">
        <f>SUM(M730)/I730</f>
        <v>3.08</v>
      </c>
      <c r="O730" s="5">
        <f t="shared" si="59"/>
        <v>5.1333333333333337</v>
      </c>
      <c r="P730" s="8">
        <v>41187</v>
      </c>
      <c r="Q730" s="6">
        <v>24.6</v>
      </c>
      <c r="R730" s="5">
        <v>3.47</v>
      </c>
      <c r="S730" s="6">
        <v>5.7</v>
      </c>
      <c r="T730" s="3"/>
    </row>
    <row r="731" spans="1:20" s="4" customFormat="1" ht="15" customHeight="1" x14ac:dyDescent="0.2">
      <c r="A731" s="4">
        <v>2012</v>
      </c>
      <c r="B731" s="4" t="s">
        <v>91</v>
      </c>
      <c r="C731" s="4">
        <v>3</v>
      </c>
      <c r="D731" s="4">
        <v>7</v>
      </c>
      <c r="E731" s="4" t="s">
        <v>43</v>
      </c>
      <c r="F731" s="4" t="s">
        <v>48</v>
      </c>
      <c r="G731" s="4">
        <v>1987</v>
      </c>
      <c r="H731" s="4" t="s">
        <v>22</v>
      </c>
      <c r="I731" s="5">
        <v>0.96</v>
      </c>
      <c r="J731" s="3">
        <v>1160</v>
      </c>
      <c r="K731" s="3">
        <f t="shared" si="60"/>
        <v>1208.3333333333335</v>
      </c>
      <c r="L731" s="3">
        <v>165</v>
      </c>
      <c r="M731" s="5">
        <v>2.42</v>
      </c>
      <c r="N731" s="5">
        <f>SUM(M731)/I731</f>
        <v>2.5208333333333335</v>
      </c>
      <c r="O731" s="5">
        <f t="shared" si="59"/>
        <v>4.1724137931034484</v>
      </c>
      <c r="P731" s="8">
        <v>41187</v>
      </c>
      <c r="Q731" s="6">
        <v>24.6</v>
      </c>
      <c r="R731" s="5">
        <v>3.47</v>
      </c>
      <c r="S731" s="6">
        <v>5.7</v>
      </c>
      <c r="T731" s="3"/>
    </row>
    <row r="732" spans="1:20" s="4" customFormat="1" ht="15" customHeight="1" x14ac:dyDescent="0.2">
      <c r="A732" s="4">
        <v>2012</v>
      </c>
      <c r="B732" s="4" t="s">
        <v>91</v>
      </c>
      <c r="C732" s="4">
        <v>3</v>
      </c>
      <c r="D732" s="4">
        <v>8</v>
      </c>
      <c r="E732" s="4" t="s">
        <v>43</v>
      </c>
      <c r="F732" s="4" t="s">
        <v>49</v>
      </c>
      <c r="G732" s="4">
        <v>1975</v>
      </c>
      <c r="H732" s="4" t="s">
        <v>22</v>
      </c>
      <c r="I732" s="5">
        <v>0.54</v>
      </c>
      <c r="J732" s="3">
        <v>219</v>
      </c>
      <c r="K732" s="3">
        <f t="shared" si="60"/>
        <v>405.55555555555554</v>
      </c>
      <c r="L732" s="3">
        <v>160</v>
      </c>
      <c r="M732" s="5">
        <v>1.67</v>
      </c>
      <c r="N732" s="5">
        <f>SUM(M732)/I732</f>
        <v>3.0925925925925921</v>
      </c>
      <c r="O732" s="5">
        <f t="shared" si="59"/>
        <v>15.251141552511415</v>
      </c>
      <c r="P732" s="8">
        <v>41187</v>
      </c>
      <c r="Q732" s="6">
        <v>24.4</v>
      </c>
      <c r="R732" s="5">
        <v>3.45</v>
      </c>
      <c r="S732" s="6">
        <v>5.85</v>
      </c>
      <c r="T732" s="3"/>
    </row>
    <row r="733" spans="1:20" s="4" customFormat="1" ht="15" customHeight="1" x14ac:dyDescent="0.2">
      <c r="A733" s="4">
        <v>2012</v>
      </c>
      <c r="B733" s="4" t="s">
        <v>91</v>
      </c>
      <c r="C733" s="4">
        <v>3</v>
      </c>
      <c r="D733" s="4">
        <v>9</v>
      </c>
      <c r="E733" s="4" t="s">
        <v>43</v>
      </c>
      <c r="F733" s="4" t="s">
        <v>46</v>
      </c>
      <c r="G733" s="4">
        <v>1990</v>
      </c>
      <c r="H733" s="4" t="s">
        <v>52</v>
      </c>
      <c r="I733" s="5">
        <v>0.1</v>
      </c>
      <c r="J733" s="3">
        <v>219</v>
      </c>
      <c r="K733" s="3">
        <f t="shared" si="60"/>
        <v>2190</v>
      </c>
      <c r="L733" s="3"/>
      <c r="M733" s="5"/>
      <c r="N733" s="5"/>
      <c r="O733" s="5"/>
      <c r="P733" s="8"/>
      <c r="Q733" s="6"/>
      <c r="R733" s="5"/>
      <c r="S733" s="6"/>
      <c r="T733" s="3"/>
    </row>
    <row r="734" spans="1:20" s="4" customFormat="1" ht="15" customHeight="1" x14ac:dyDescent="0.2">
      <c r="A734" s="4">
        <v>2012</v>
      </c>
      <c r="B734" s="4" t="s">
        <v>91</v>
      </c>
      <c r="C734" s="4">
        <v>4</v>
      </c>
      <c r="D734" s="4">
        <v>2</v>
      </c>
      <c r="E734" s="4" t="s">
        <v>43</v>
      </c>
      <c r="F734" s="4">
        <v>667</v>
      </c>
      <c r="G734" s="4">
        <v>2005</v>
      </c>
      <c r="H734" s="4" t="s">
        <v>34</v>
      </c>
      <c r="I734" s="5">
        <v>0.9</v>
      </c>
      <c r="J734" s="3">
        <v>1240</v>
      </c>
      <c r="K734" s="3">
        <v>1240</v>
      </c>
      <c r="L734" s="4">
        <v>160</v>
      </c>
      <c r="M734" s="5">
        <v>3.01</v>
      </c>
      <c r="N734" s="5">
        <f>SUM(M734/I734)</f>
        <v>3.3444444444444441</v>
      </c>
      <c r="O734" s="5">
        <f t="shared" ref="O734:O742" si="61">SUM(M734*2000)/J734</f>
        <v>4.854838709677419</v>
      </c>
      <c r="P734" s="8">
        <v>41186</v>
      </c>
      <c r="Q734" s="6">
        <v>23.6</v>
      </c>
      <c r="R734" s="5">
        <v>3.51</v>
      </c>
      <c r="S734" s="6">
        <v>5.85</v>
      </c>
      <c r="T734" s="3"/>
    </row>
    <row r="735" spans="1:20" s="4" customFormat="1" ht="15" customHeight="1" x14ac:dyDescent="0.2">
      <c r="A735" s="4">
        <v>2012</v>
      </c>
      <c r="B735" s="4" t="s">
        <v>91</v>
      </c>
      <c r="C735" s="4">
        <v>4</v>
      </c>
      <c r="D735" s="4">
        <v>3</v>
      </c>
      <c r="E735" s="4" t="s">
        <v>43</v>
      </c>
      <c r="F735" s="4" t="s">
        <v>46</v>
      </c>
      <c r="G735" s="4">
        <v>1990</v>
      </c>
      <c r="H735" s="4" t="s">
        <v>22</v>
      </c>
      <c r="I735" s="5">
        <v>2.71</v>
      </c>
      <c r="J735" s="3">
        <v>3279</v>
      </c>
      <c r="K735" s="3">
        <f>SUM(J735/I735)</f>
        <v>1209.9630996309963</v>
      </c>
      <c r="L735" s="3">
        <v>131</v>
      </c>
      <c r="M735" s="5">
        <v>9.2899999999999991</v>
      </c>
      <c r="N735" s="5">
        <f>SUM(M735)/I735</f>
        <v>3.428044280442804</v>
      </c>
      <c r="O735" s="5">
        <f t="shared" si="61"/>
        <v>5.6663616956389147</v>
      </c>
      <c r="P735" s="8">
        <v>41186</v>
      </c>
      <c r="Q735" s="6">
        <f>(25.4+25.2)/2</f>
        <v>25.299999999999997</v>
      </c>
      <c r="R735" s="5">
        <f>(3.57+3.59)/2</f>
        <v>3.58</v>
      </c>
      <c r="S735" s="6">
        <f>(5.1+5.36)/2</f>
        <v>5.23</v>
      </c>
      <c r="T735" s="3"/>
    </row>
    <row r="736" spans="1:20" s="4" customFormat="1" ht="15" customHeight="1" x14ac:dyDescent="0.2">
      <c r="A736" s="4">
        <v>2012</v>
      </c>
      <c r="B736" s="4" t="s">
        <v>91</v>
      </c>
      <c r="C736" s="4">
        <v>4</v>
      </c>
      <c r="D736" s="4">
        <v>7</v>
      </c>
      <c r="E736" s="4" t="s">
        <v>43</v>
      </c>
      <c r="F736" s="4">
        <v>115</v>
      </c>
      <c r="G736" s="4">
        <v>2005</v>
      </c>
      <c r="H736" s="4" t="s">
        <v>44</v>
      </c>
      <c r="I736" s="5">
        <v>0.53</v>
      </c>
      <c r="J736" s="3">
        <v>965</v>
      </c>
      <c r="K736" s="3"/>
      <c r="L736" s="3">
        <v>180</v>
      </c>
      <c r="M736" s="5">
        <v>1.91</v>
      </c>
      <c r="N736" s="5">
        <f>SUM(M736/I736)</f>
        <v>3.6037735849056602</v>
      </c>
      <c r="O736" s="5">
        <f t="shared" si="61"/>
        <v>3.9585492227979273</v>
      </c>
      <c r="P736" s="8">
        <v>41186</v>
      </c>
      <c r="Q736" s="6">
        <v>23.4</v>
      </c>
      <c r="R736" s="5">
        <v>3.47</v>
      </c>
      <c r="S736" s="6">
        <v>6.1</v>
      </c>
      <c r="T736" s="3"/>
    </row>
    <row r="737" spans="1:20" s="4" customFormat="1" ht="15" customHeight="1" x14ac:dyDescent="0.2">
      <c r="A737" s="4">
        <v>2012</v>
      </c>
      <c r="B737" s="4" t="s">
        <v>91</v>
      </c>
      <c r="C737" s="4">
        <v>4</v>
      </c>
      <c r="D737" s="4">
        <v>8</v>
      </c>
      <c r="E737" s="4" t="s">
        <v>43</v>
      </c>
      <c r="F737" s="4">
        <v>115</v>
      </c>
      <c r="G737" s="4">
        <v>2005</v>
      </c>
      <c r="H737" s="4" t="s">
        <v>44</v>
      </c>
      <c r="I737" s="5">
        <v>1.25</v>
      </c>
      <c r="J737" s="3">
        <v>1990</v>
      </c>
      <c r="K737" s="3"/>
      <c r="L737" s="3">
        <v>180</v>
      </c>
      <c r="M737" s="5">
        <v>5.21</v>
      </c>
      <c r="N737" s="5">
        <f>SUM(M737/I737)</f>
        <v>4.1680000000000001</v>
      </c>
      <c r="O737" s="5">
        <f t="shared" si="61"/>
        <v>5.2361809045226133</v>
      </c>
      <c r="P737" s="8">
        <v>41186</v>
      </c>
      <c r="Q737" s="6">
        <v>23.4</v>
      </c>
      <c r="R737" s="5">
        <v>3.47</v>
      </c>
      <c r="S737" s="6">
        <v>6.1</v>
      </c>
      <c r="T737" s="3"/>
    </row>
    <row r="738" spans="1:20" s="4" customFormat="1" ht="15" customHeight="1" x14ac:dyDescent="0.2">
      <c r="A738" s="4">
        <v>2012</v>
      </c>
      <c r="B738" s="4" t="s">
        <v>91</v>
      </c>
      <c r="C738" s="4">
        <v>4</v>
      </c>
      <c r="D738" s="4">
        <v>9</v>
      </c>
      <c r="E738" s="4" t="s">
        <v>43</v>
      </c>
      <c r="F738" s="4">
        <v>777</v>
      </c>
      <c r="G738" s="4">
        <v>2005</v>
      </c>
      <c r="H738" s="4" t="s">
        <v>44</v>
      </c>
      <c r="I738" s="5">
        <v>1.63</v>
      </c>
      <c r="J738" s="3">
        <v>2600</v>
      </c>
      <c r="K738" s="3"/>
      <c r="L738" s="3">
        <v>175</v>
      </c>
      <c r="M738" s="5">
        <v>7.09</v>
      </c>
      <c r="N738" s="5">
        <f>SUM(M738/I738)</f>
        <v>4.3496932515337425</v>
      </c>
      <c r="O738" s="5">
        <f t="shared" si="61"/>
        <v>5.453846153846154</v>
      </c>
      <c r="P738" s="8">
        <v>41186</v>
      </c>
      <c r="Q738" s="6">
        <v>22.4</v>
      </c>
      <c r="R738" s="5">
        <v>3.52</v>
      </c>
      <c r="S738" s="6">
        <v>5.5</v>
      </c>
      <c r="T738" s="3"/>
    </row>
    <row r="739" spans="1:20" s="4" customFormat="1" ht="15" customHeight="1" x14ac:dyDescent="0.2">
      <c r="A739" s="4">
        <v>2012</v>
      </c>
      <c r="B739" s="4" t="s">
        <v>91</v>
      </c>
      <c r="C739" s="4">
        <v>4</v>
      </c>
      <c r="D739" s="4">
        <v>10</v>
      </c>
      <c r="E739" s="4" t="s">
        <v>43</v>
      </c>
      <c r="F739" s="4" t="s">
        <v>46</v>
      </c>
      <c r="G739" s="4">
        <v>1990</v>
      </c>
      <c r="H739" s="4" t="s">
        <v>53</v>
      </c>
      <c r="I739" s="5">
        <v>1.73</v>
      </c>
      <c r="J739" s="3">
        <v>2093</v>
      </c>
      <c r="K739" s="3">
        <f>SUM(J739/I739)</f>
        <v>1209.8265895953757</v>
      </c>
      <c r="L739" s="4">
        <v>183</v>
      </c>
      <c r="M739" s="5">
        <v>5.01</v>
      </c>
      <c r="N739" s="5">
        <f>SUM(M739)/I739</f>
        <v>2.8959537572254335</v>
      </c>
      <c r="O739" s="5">
        <f t="shared" si="61"/>
        <v>4.7873865265169613</v>
      </c>
      <c r="P739" s="8">
        <v>41187</v>
      </c>
      <c r="Q739" s="6">
        <v>25</v>
      </c>
      <c r="R739" s="5">
        <v>3.55</v>
      </c>
      <c r="S739" s="6">
        <v>5.2</v>
      </c>
      <c r="T739" s="3"/>
    </row>
    <row r="740" spans="1:20" s="4" customFormat="1" ht="15" customHeight="1" x14ac:dyDescent="0.2">
      <c r="A740" s="4">
        <v>2012</v>
      </c>
      <c r="B740" s="4" t="s">
        <v>91</v>
      </c>
      <c r="C740" s="4">
        <v>4</v>
      </c>
      <c r="D740" s="4">
        <v>11</v>
      </c>
      <c r="E740" s="4" t="s">
        <v>43</v>
      </c>
      <c r="F740" s="4">
        <v>115</v>
      </c>
      <c r="G740" s="4">
        <v>2003</v>
      </c>
      <c r="H740" s="4" t="s">
        <v>34</v>
      </c>
      <c r="I740" s="5">
        <v>1.46</v>
      </c>
      <c r="J740" s="3">
        <v>2600</v>
      </c>
      <c r="K740" s="3">
        <v>1780</v>
      </c>
      <c r="L740" s="4">
        <v>155</v>
      </c>
      <c r="M740" s="5">
        <v>4.2300000000000004</v>
      </c>
      <c r="N740" s="5">
        <f>SUM(M740/I740)</f>
        <v>2.897260273972603</v>
      </c>
      <c r="O740" s="5">
        <f t="shared" si="61"/>
        <v>3.2538461538461538</v>
      </c>
      <c r="P740" s="8">
        <v>41187</v>
      </c>
      <c r="Q740" s="6">
        <v>24.2</v>
      </c>
      <c r="R740" s="5">
        <v>3.58</v>
      </c>
      <c r="S740" s="6">
        <v>5.13</v>
      </c>
      <c r="T740" s="3"/>
    </row>
    <row r="741" spans="1:20" s="4" customFormat="1" ht="15" customHeight="1" x14ac:dyDescent="0.2">
      <c r="A741" s="4">
        <v>2012</v>
      </c>
      <c r="B741" s="4" t="s">
        <v>91</v>
      </c>
      <c r="C741" s="4">
        <v>5</v>
      </c>
      <c r="D741" s="4">
        <v>5</v>
      </c>
      <c r="E741" s="4" t="s">
        <v>43</v>
      </c>
      <c r="F741" s="4">
        <v>115</v>
      </c>
      <c r="G741" s="4">
        <v>1997</v>
      </c>
      <c r="H741" s="4" t="s">
        <v>54</v>
      </c>
      <c r="I741" s="5">
        <v>1.43</v>
      </c>
      <c r="J741" s="3">
        <v>2450</v>
      </c>
      <c r="K741" s="3">
        <f>SUM(J741/I741)</f>
        <v>1713.2867132867134</v>
      </c>
      <c r="L741" s="4">
        <v>160</v>
      </c>
      <c r="M741" s="5">
        <v>4.17</v>
      </c>
      <c r="N741" s="5">
        <f>SUM(M741)/I741</f>
        <v>2.9160839160839163</v>
      </c>
      <c r="O741" s="5">
        <f t="shared" si="61"/>
        <v>3.4040816326530612</v>
      </c>
      <c r="P741" s="8">
        <v>41201</v>
      </c>
      <c r="Q741" s="6">
        <v>24.2</v>
      </c>
      <c r="R741" s="5">
        <v>3.54</v>
      </c>
      <c r="S741" s="6">
        <v>5.19</v>
      </c>
      <c r="T741" s="3"/>
    </row>
    <row r="742" spans="1:20" s="4" customFormat="1" ht="15" customHeight="1" x14ac:dyDescent="0.2">
      <c r="A742" s="4">
        <v>2012</v>
      </c>
      <c r="B742" s="4" t="s">
        <v>91</v>
      </c>
      <c r="C742" s="4">
        <v>5</v>
      </c>
      <c r="D742" s="4">
        <v>6</v>
      </c>
      <c r="E742" s="4" t="s">
        <v>43</v>
      </c>
      <c r="F742" s="4">
        <v>777</v>
      </c>
      <c r="G742" s="4">
        <v>1997</v>
      </c>
      <c r="H742" s="4" t="s">
        <v>54</v>
      </c>
      <c r="I742" s="5">
        <v>1.84</v>
      </c>
      <c r="J742" s="3">
        <v>3200</v>
      </c>
      <c r="K742" s="3">
        <f>SUM(J742/I742)</f>
        <v>1739.1304347826085</v>
      </c>
      <c r="L742" s="3">
        <v>160</v>
      </c>
      <c r="M742" s="5">
        <v>5.01</v>
      </c>
      <c r="N742" s="5">
        <f>SUM(M742)/I742</f>
        <v>2.7228260869565215</v>
      </c>
      <c r="O742" s="5">
        <f t="shared" si="61"/>
        <v>3.1312500000000001</v>
      </c>
      <c r="P742" s="8">
        <v>41201</v>
      </c>
      <c r="Q742" s="6">
        <v>24.4</v>
      </c>
      <c r="R742" s="5">
        <v>3.57</v>
      </c>
      <c r="S742" s="6">
        <v>5.21</v>
      </c>
      <c r="T742" s="3"/>
    </row>
    <row r="743" spans="1:20" s="4" customFormat="1" ht="15" customHeight="1" x14ac:dyDescent="0.2">
      <c r="A743" s="4">
        <v>2000</v>
      </c>
      <c r="B743" s="4" t="s">
        <v>91</v>
      </c>
      <c r="C743" s="4">
        <v>4</v>
      </c>
      <c r="D743" s="4">
        <v>1</v>
      </c>
      <c r="E743" s="4" t="s">
        <v>31</v>
      </c>
      <c r="F743" s="4" t="s">
        <v>29</v>
      </c>
      <c r="G743" s="4">
        <v>1981</v>
      </c>
      <c r="H743" s="4" t="s">
        <v>33</v>
      </c>
      <c r="I743" s="5">
        <v>2.23</v>
      </c>
      <c r="J743" s="3">
        <v>2614</v>
      </c>
      <c r="K743" s="3">
        <f>SUM(J743/I743)</f>
        <v>1172.1973094170403</v>
      </c>
      <c r="L743" s="3"/>
      <c r="M743" s="5">
        <v>27.99</v>
      </c>
      <c r="N743" s="5"/>
      <c r="O743" s="5"/>
      <c r="P743" s="8">
        <v>37602</v>
      </c>
      <c r="Q743" s="6">
        <v>43.8</v>
      </c>
      <c r="R743" s="5">
        <v>2.66</v>
      </c>
      <c r="S743" s="6">
        <v>17.899999999999999</v>
      </c>
      <c r="T743" s="3"/>
    </row>
    <row r="744" spans="1:20" s="4" customFormat="1" ht="15" customHeight="1" x14ac:dyDescent="0.2">
      <c r="A744" s="4">
        <v>2003</v>
      </c>
      <c r="B744" s="4" t="s">
        <v>91</v>
      </c>
      <c r="C744" s="4">
        <v>4</v>
      </c>
      <c r="D744" s="4">
        <v>1</v>
      </c>
      <c r="E744" s="4" t="s">
        <v>31</v>
      </c>
      <c r="F744" s="4" t="s">
        <v>29</v>
      </c>
      <c r="G744" s="4">
        <v>1981</v>
      </c>
      <c r="H744" s="4" t="s">
        <v>33</v>
      </c>
      <c r="I744" s="5">
        <v>2.23</v>
      </c>
      <c r="J744" s="3">
        <v>2614</v>
      </c>
      <c r="K744" s="3">
        <f>SUM(J744/I744)</f>
        <v>1172.1973094170403</v>
      </c>
      <c r="L744" s="3"/>
      <c r="M744" s="5">
        <v>8.5</v>
      </c>
      <c r="N744" s="5"/>
      <c r="O744" s="5"/>
      <c r="P744" s="8">
        <v>37947</v>
      </c>
      <c r="Q744" s="6">
        <v>37</v>
      </c>
      <c r="R744" s="5">
        <v>3.38</v>
      </c>
      <c r="S744" s="6">
        <v>7.3</v>
      </c>
      <c r="T744" s="3"/>
    </row>
    <row r="745" spans="1:20" s="4" customFormat="1" ht="15" customHeight="1" x14ac:dyDescent="0.2">
      <c r="A745" s="4">
        <v>2004</v>
      </c>
      <c r="B745" s="4" t="s">
        <v>91</v>
      </c>
      <c r="C745" s="4">
        <v>4</v>
      </c>
      <c r="D745" s="4">
        <v>1</v>
      </c>
      <c r="E745" s="4" t="s">
        <v>31</v>
      </c>
      <c r="F745" s="4" t="s">
        <v>29</v>
      </c>
      <c r="G745" s="4">
        <v>1981</v>
      </c>
      <c r="H745" s="4" t="s">
        <v>33</v>
      </c>
      <c r="I745" s="5">
        <v>2.23</v>
      </c>
      <c r="J745" s="3">
        <v>2614</v>
      </c>
      <c r="K745" s="3">
        <v>1172</v>
      </c>
      <c r="L745" s="3"/>
      <c r="M745" s="5">
        <v>4</v>
      </c>
      <c r="N745" s="5"/>
      <c r="O745" s="5"/>
      <c r="P745" s="8">
        <v>38354</v>
      </c>
      <c r="Q745" s="6">
        <v>44</v>
      </c>
      <c r="R745" s="5"/>
      <c r="S745" s="6"/>
      <c r="T745" s="3"/>
    </row>
    <row r="746" spans="1:20" s="4" customFormat="1" ht="15" customHeight="1" x14ac:dyDescent="0.2">
      <c r="A746" s="4">
        <v>2005</v>
      </c>
      <c r="B746" s="4" t="s">
        <v>91</v>
      </c>
      <c r="C746" s="4">
        <v>4</v>
      </c>
      <c r="D746" s="4">
        <v>1</v>
      </c>
      <c r="E746" s="4" t="s">
        <v>31</v>
      </c>
      <c r="F746" s="4" t="s">
        <v>29</v>
      </c>
      <c r="G746" s="4">
        <v>1981</v>
      </c>
      <c r="H746" s="4" t="s">
        <v>33</v>
      </c>
      <c r="I746" s="5">
        <v>2.23</v>
      </c>
      <c r="J746" s="3">
        <v>2614</v>
      </c>
      <c r="K746" s="3">
        <v>1172</v>
      </c>
      <c r="L746" s="3"/>
      <c r="M746" s="5">
        <v>3.4</v>
      </c>
      <c r="N746" s="5"/>
      <c r="O746" s="5"/>
      <c r="P746" s="8">
        <v>38765</v>
      </c>
      <c r="Q746" s="6">
        <v>40</v>
      </c>
      <c r="R746" s="5">
        <v>3.08</v>
      </c>
      <c r="S746" s="6">
        <v>9.5</v>
      </c>
      <c r="T746" s="3"/>
    </row>
    <row r="747" spans="1:20" s="4" customFormat="1" ht="15" customHeight="1" x14ac:dyDescent="0.2">
      <c r="A747" s="4">
        <v>2006</v>
      </c>
      <c r="B747" s="4" t="s">
        <v>91</v>
      </c>
      <c r="C747" s="4">
        <v>4</v>
      </c>
      <c r="D747" s="4">
        <v>1</v>
      </c>
      <c r="E747" s="4" t="s">
        <v>31</v>
      </c>
      <c r="F747" s="4" t="s">
        <v>29</v>
      </c>
      <c r="G747" s="4">
        <v>1981</v>
      </c>
      <c r="H747" s="4" t="s">
        <v>33</v>
      </c>
      <c r="I747" s="5">
        <v>2.23</v>
      </c>
      <c r="J747" s="3">
        <v>2614</v>
      </c>
      <c r="K747" s="3">
        <v>1172</v>
      </c>
      <c r="L747" s="3">
        <v>156</v>
      </c>
      <c r="M747" s="5">
        <v>16.3</v>
      </c>
      <c r="N747" s="5"/>
      <c r="O747" s="5"/>
      <c r="P747" s="8">
        <v>39044</v>
      </c>
      <c r="Q747" s="6">
        <v>43.2</v>
      </c>
      <c r="R747" s="5">
        <v>3.23</v>
      </c>
      <c r="S747" s="6">
        <v>15.5</v>
      </c>
      <c r="T747" s="3"/>
    </row>
    <row r="748" spans="1:20" s="4" customFormat="1" ht="15" customHeight="1" x14ac:dyDescent="0.2">
      <c r="A748" s="4">
        <v>2007</v>
      </c>
      <c r="B748" s="4" t="s">
        <v>91</v>
      </c>
      <c r="C748" s="4">
        <v>4</v>
      </c>
      <c r="D748" s="4">
        <v>1</v>
      </c>
      <c r="E748" s="4" t="s">
        <v>31</v>
      </c>
      <c r="F748" s="4" t="s">
        <v>29</v>
      </c>
      <c r="G748" s="4">
        <v>1981</v>
      </c>
      <c r="H748" s="4" t="s">
        <v>33</v>
      </c>
      <c r="I748" s="5">
        <v>2.23</v>
      </c>
      <c r="J748" s="3">
        <v>2614</v>
      </c>
      <c r="K748" s="3">
        <v>1172</v>
      </c>
      <c r="L748" s="3">
        <v>110</v>
      </c>
      <c r="M748" s="5">
        <v>1.9</v>
      </c>
      <c r="N748" s="5"/>
      <c r="O748" s="5"/>
      <c r="P748" s="8">
        <v>39104</v>
      </c>
      <c r="Q748" s="6"/>
      <c r="R748" s="5"/>
      <c r="S748" s="6"/>
      <c r="T748" s="3"/>
    </row>
    <row r="749" spans="1:20" s="4" customFormat="1" ht="15" customHeight="1" x14ac:dyDescent="0.2">
      <c r="A749" s="4">
        <v>2008</v>
      </c>
      <c r="B749" s="4" t="s">
        <v>91</v>
      </c>
      <c r="C749" s="4">
        <v>2</v>
      </c>
      <c r="D749" s="4">
        <v>1</v>
      </c>
      <c r="E749" s="4" t="s">
        <v>31</v>
      </c>
      <c r="I749" s="5"/>
      <c r="J749" s="3"/>
      <c r="K749" s="3"/>
      <c r="L749" s="3">
        <v>110</v>
      </c>
      <c r="M749" s="5">
        <v>6.4</v>
      </c>
      <c r="N749" s="5"/>
      <c r="O749" s="5"/>
      <c r="P749" s="8">
        <v>39798</v>
      </c>
      <c r="Q749" s="6">
        <v>42</v>
      </c>
      <c r="R749" s="5">
        <v>2.69</v>
      </c>
      <c r="S749" s="6">
        <v>16</v>
      </c>
      <c r="T749" s="3"/>
    </row>
    <row r="750" spans="1:20" s="4" customFormat="1" ht="15" customHeight="1" x14ac:dyDescent="0.2">
      <c r="A750" s="4">
        <v>2009</v>
      </c>
      <c r="B750" s="4" t="s">
        <v>91</v>
      </c>
      <c r="C750" s="4">
        <v>2</v>
      </c>
      <c r="D750" s="4">
        <v>1</v>
      </c>
      <c r="E750" s="4" t="s">
        <v>31</v>
      </c>
      <c r="I750" s="5"/>
      <c r="J750" s="3"/>
      <c r="K750" s="3"/>
      <c r="L750" s="3"/>
      <c r="M750" s="5">
        <v>0</v>
      </c>
      <c r="N750" s="5"/>
      <c r="O750" s="5"/>
      <c r="P750" s="8"/>
      <c r="Q750" s="6"/>
      <c r="R750" s="5"/>
      <c r="S750" s="6"/>
      <c r="T750" s="3"/>
    </row>
    <row r="751" spans="1:20" s="4" customFormat="1" ht="15" customHeight="1" x14ac:dyDescent="0.2">
      <c r="A751" s="4">
        <v>2010</v>
      </c>
      <c r="B751" s="4" t="s">
        <v>91</v>
      </c>
      <c r="C751" s="4">
        <v>2</v>
      </c>
      <c r="D751" s="4">
        <v>1</v>
      </c>
      <c r="E751" s="4" t="s">
        <v>31</v>
      </c>
      <c r="I751" s="5"/>
      <c r="J751" s="3"/>
      <c r="K751" s="3"/>
      <c r="L751" s="3"/>
      <c r="M751" s="5">
        <v>4.5999999999999996</v>
      </c>
      <c r="N751" s="5"/>
      <c r="O751" s="5"/>
      <c r="P751" s="8">
        <v>40505</v>
      </c>
      <c r="Q751" s="6">
        <v>48.2</v>
      </c>
      <c r="R751" s="5">
        <v>3.06</v>
      </c>
      <c r="S751" s="6">
        <v>16</v>
      </c>
      <c r="T751" s="3"/>
    </row>
    <row r="752" spans="1:20" s="4" customFormat="1" ht="15" customHeight="1" x14ac:dyDescent="0.2">
      <c r="A752" s="4">
        <v>2011</v>
      </c>
      <c r="B752" s="4" t="s">
        <v>91</v>
      </c>
      <c r="C752" s="4">
        <v>2</v>
      </c>
      <c r="D752" s="4">
        <v>1</v>
      </c>
      <c r="E752" s="4" t="s">
        <v>31</v>
      </c>
      <c r="I752" s="5"/>
      <c r="J752" s="3"/>
      <c r="K752" s="3"/>
      <c r="L752" s="3"/>
      <c r="M752" s="5">
        <v>0</v>
      </c>
      <c r="N752" s="5"/>
      <c r="O752" s="5"/>
      <c r="P752" s="8"/>
      <c r="Q752" s="6"/>
      <c r="R752" s="5"/>
      <c r="S752" s="6"/>
      <c r="T752" s="3"/>
    </row>
    <row r="753" spans="1:20" s="4" customFormat="1" ht="15" customHeight="1" x14ac:dyDescent="0.2">
      <c r="A753" s="4">
        <v>2012</v>
      </c>
      <c r="B753" s="4" t="s">
        <v>91</v>
      </c>
      <c r="C753" s="4">
        <v>2</v>
      </c>
      <c r="D753" s="4">
        <v>1</v>
      </c>
      <c r="E753" s="4" t="s">
        <v>31</v>
      </c>
      <c r="I753" s="5"/>
      <c r="J753" s="3"/>
      <c r="K753" s="3"/>
      <c r="L753" s="3"/>
      <c r="M753" s="5">
        <v>1.25</v>
      </c>
      <c r="N753" s="5"/>
      <c r="O753" s="5"/>
      <c r="P753" s="8">
        <v>41286</v>
      </c>
      <c r="Q753" s="6">
        <v>40</v>
      </c>
      <c r="R753" s="5">
        <v>3.21</v>
      </c>
      <c r="S753" s="6">
        <v>10.199999999999999</v>
      </c>
      <c r="T753" s="3"/>
    </row>
    <row r="754" spans="1:20" s="4" customFormat="1" ht="15" customHeight="1" x14ac:dyDescent="0.2">
      <c r="A754" s="4">
        <v>2001</v>
      </c>
      <c r="B754" s="4" t="s">
        <v>91</v>
      </c>
      <c r="C754" s="4">
        <v>4</v>
      </c>
      <c r="D754" s="4">
        <v>1</v>
      </c>
      <c r="E754" s="4" t="s">
        <v>32</v>
      </c>
      <c r="F754" s="4" t="s">
        <v>29</v>
      </c>
      <c r="G754" s="4">
        <v>1981</v>
      </c>
      <c r="H754" s="4" t="s">
        <v>33</v>
      </c>
      <c r="I754" s="5">
        <v>2.23</v>
      </c>
      <c r="J754" s="3">
        <v>2614</v>
      </c>
      <c r="K754" s="3">
        <f>SUM(J754/I754)</f>
        <v>1172.1973094170403</v>
      </c>
      <c r="L754" s="3"/>
      <c r="M754" s="5">
        <v>12.5</v>
      </c>
      <c r="N754" s="5"/>
      <c r="O754" s="5"/>
      <c r="P754" s="8">
        <v>37285</v>
      </c>
      <c r="Q754" s="6">
        <v>29</v>
      </c>
      <c r="R754" s="5">
        <v>3.16</v>
      </c>
      <c r="S754" s="6">
        <v>11.5</v>
      </c>
      <c r="T754" s="3"/>
    </row>
    <row r="755" spans="1:20" s="4" customFormat="1" ht="15" customHeight="1" x14ac:dyDescent="0.2">
      <c r="A755" s="4">
        <v>2002</v>
      </c>
      <c r="B755" s="4" t="s">
        <v>91</v>
      </c>
      <c r="C755" s="4">
        <v>4</v>
      </c>
      <c r="D755" s="4">
        <v>1</v>
      </c>
      <c r="E755" s="4" t="s">
        <v>32</v>
      </c>
      <c r="F755" s="4" t="s">
        <v>29</v>
      </c>
      <c r="G755" s="4">
        <v>1981</v>
      </c>
      <c r="H755" s="4" t="s">
        <v>33</v>
      </c>
      <c r="I755" s="5">
        <v>2.23</v>
      </c>
      <c r="J755" s="3">
        <v>2614</v>
      </c>
      <c r="K755" s="3">
        <f>SUM(J755/I755)</f>
        <v>1172.1973094170403</v>
      </c>
      <c r="L755" s="3"/>
      <c r="M755" s="5">
        <v>3.9</v>
      </c>
      <c r="N755" s="5"/>
      <c r="O755" s="5"/>
      <c r="Q755" s="6"/>
      <c r="R755" s="5"/>
      <c r="S755" s="6"/>
      <c r="T755" s="3"/>
    </row>
    <row r="756" spans="1:20" s="4" customFormat="1" ht="15" customHeight="1" x14ac:dyDescent="0.2">
      <c r="A756" s="4">
        <v>2007</v>
      </c>
      <c r="B756" s="4" t="s">
        <v>97</v>
      </c>
      <c r="C756" s="4">
        <v>2</v>
      </c>
      <c r="D756" s="4">
        <v>1</v>
      </c>
      <c r="E756" s="4" t="s">
        <v>28</v>
      </c>
      <c r="F756" s="4">
        <v>49</v>
      </c>
      <c r="G756" s="4">
        <v>2006</v>
      </c>
      <c r="H756" s="4" t="s">
        <v>34</v>
      </c>
      <c r="I756" s="5">
        <v>0.68</v>
      </c>
      <c r="J756" s="4">
        <v>1132</v>
      </c>
      <c r="K756" s="3">
        <v>1664</v>
      </c>
      <c r="L756" s="3"/>
      <c r="M756" s="5">
        <v>1.5</v>
      </c>
      <c r="N756" s="5">
        <f t="shared" ref="N756:N788" si="62">SUM(M756/I756)</f>
        <v>2.2058823529411762</v>
      </c>
      <c r="O756" s="5">
        <f t="shared" ref="O756:O788" si="63">SUM(M756*2000)/J756</f>
        <v>2.6501766784452299</v>
      </c>
      <c r="P756" s="8"/>
      <c r="Q756" s="6"/>
      <c r="R756" s="5"/>
      <c r="S756" s="6"/>
      <c r="T756" s="3"/>
    </row>
    <row r="757" spans="1:20" s="4" customFormat="1" ht="15" customHeight="1" x14ac:dyDescent="0.2">
      <c r="A757" s="4">
        <v>2007</v>
      </c>
      <c r="B757" s="4" t="s">
        <v>97</v>
      </c>
      <c r="C757" s="4">
        <v>2</v>
      </c>
      <c r="D757" s="4">
        <v>2</v>
      </c>
      <c r="E757" s="4" t="s">
        <v>28</v>
      </c>
      <c r="F757" s="4">
        <v>49</v>
      </c>
      <c r="G757" s="4">
        <v>2006</v>
      </c>
      <c r="H757" s="4" t="s">
        <v>34</v>
      </c>
      <c r="I757" s="5">
        <v>1.58</v>
      </c>
      <c r="J757" s="4">
        <v>2737</v>
      </c>
      <c r="K757" s="3">
        <v>1732</v>
      </c>
      <c r="L757" s="3"/>
      <c r="M757" s="5">
        <v>1.5</v>
      </c>
      <c r="N757" s="5">
        <f t="shared" si="62"/>
        <v>0.94936708860759489</v>
      </c>
      <c r="O757" s="5">
        <f t="shared" si="63"/>
        <v>1.0960906101571064</v>
      </c>
      <c r="P757" s="8"/>
      <c r="Q757" s="6"/>
      <c r="R757" s="5"/>
      <c r="S757" s="6"/>
      <c r="T757" s="3"/>
    </row>
    <row r="758" spans="1:20" s="4" customFormat="1" ht="15" customHeight="1" x14ac:dyDescent="0.2">
      <c r="A758" s="4">
        <v>2007</v>
      </c>
      <c r="B758" s="4" t="s">
        <v>97</v>
      </c>
      <c r="C758" s="4">
        <v>3</v>
      </c>
      <c r="D758" s="4">
        <v>1</v>
      </c>
      <c r="E758" s="4" t="s">
        <v>28</v>
      </c>
      <c r="F758" s="4">
        <v>49</v>
      </c>
      <c r="G758" s="4">
        <v>2006</v>
      </c>
      <c r="H758" s="4" t="s">
        <v>34</v>
      </c>
      <c r="I758" s="5">
        <v>0.68</v>
      </c>
      <c r="J758" s="4">
        <v>1132</v>
      </c>
      <c r="K758" s="3">
        <v>1664</v>
      </c>
      <c r="L758" s="3"/>
      <c r="M758" s="5">
        <v>1.5</v>
      </c>
      <c r="N758" s="5">
        <f t="shared" si="62"/>
        <v>2.2058823529411762</v>
      </c>
      <c r="O758" s="5">
        <f t="shared" si="63"/>
        <v>2.6501766784452299</v>
      </c>
      <c r="P758" s="8"/>
      <c r="Q758" s="6"/>
      <c r="R758" s="5"/>
      <c r="S758" s="6"/>
      <c r="T758" s="3"/>
    </row>
    <row r="759" spans="1:20" s="4" customFormat="1" ht="15" customHeight="1" x14ac:dyDescent="0.2">
      <c r="A759" s="4">
        <v>2008</v>
      </c>
      <c r="B759" s="4" t="s">
        <v>97</v>
      </c>
      <c r="C759" s="4">
        <v>2</v>
      </c>
      <c r="D759" s="4">
        <v>1</v>
      </c>
      <c r="E759" s="4" t="s">
        <v>28</v>
      </c>
      <c r="F759" s="4">
        <v>49</v>
      </c>
      <c r="G759" s="4">
        <v>2006</v>
      </c>
      <c r="H759" s="4" t="s">
        <v>34</v>
      </c>
      <c r="I759" s="5">
        <v>0.68</v>
      </c>
      <c r="J759" s="4">
        <v>1132</v>
      </c>
      <c r="K759" s="3">
        <v>1664</v>
      </c>
      <c r="L759" s="3">
        <v>145</v>
      </c>
      <c r="M759" s="5">
        <v>2.7</v>
      </c>
      <c r="N759" s="5">
        <f t="shared" si="62"/>
        <v>3.9705882352941178</v>
      </c>
      <c r="O759" s="5">
        <f t="shared" si="63"/>
        <v>4.7703180212014136</v>
      </c>
      <c r="P759" s="8">
        <v>39756</v>
      </c>
      <c r="Q759" s="6">
        <v>22.2</v>
      </c>
      <c r="R759" s="5">
        <v>3.08</v>
      </c>
      <c r="S759" s="6">
        <v>12.5</v>
      </c>
      <c r="T759" s="3"/>
    </row>
    <row r="760" spans="1:20" s="4" customFormat="1" ht="15" customHeight="1" x14ac:dyDescent="0.2">
      <c r="A760" s="4">
        <v>2008</v>
      </c>
      <c r="B760" s="4" t="s">
        <v>97</v>
      </c>
      <c r="C760" s="4">
        <v>2</v>
      </c>
      <c r="D760" s="4">
        <v>2</v>
      </c>
      <c r="E760" s="4" t="s">
        <v>28</v>
      </c>
      <c r="F760" s="4">
        <v>49</v>
      </c>
      <c r="G760" s="4">
        <v>2006</v>
      </c>
      <c r="H760" s="4" t="s">
        <v>34</v>
      </c>
      <c r="I760" s="5">
        <v>1.58</v>
      </c>
      <c r="J760" s="4">
        <v>2737</v>
      </c>
      <c r="K760" s="3">
        <v>1732</v>
      </c>
      <c r="L760" s="3">
        <v>145</v>
      </c>
      <c r="M760" s="5">
        <v>5.2</v>
      </c>
      <c r="N760" s="5">
        <f t="shared" si="62"/>
        <v>3.2911392405063289</v>
      </c>
      <c r="O760" s="5">
        <f t="shared" si="63"/>
        <v>3.7997807818779687</v>
      </c>
      <c r="P760" s="8">
        <v>39756</v>
      </c>
      <c r="Q760" s="6">
        <v>22.2</v>
      </c>
      <c r="R760" s="5">
        <v>3.08</v>
      </c>
      <c r="S760" s="6">
        <v>12.5</v>
      </c>
      <c r="T760" s="3"/>
    </row>
    <row r="761" spans="1:20" s="4" customFormat="1" ht="15" customHeight="1" x14ac:dyDescent="0.2">
      <c r="A761" s="4">
        <v>2008</v>
      </c>
      <c r="B761" s="4" t="s">
        <v>97</v>
      </c>
      <c r="C761" s="4">
        <v>2</v>
      </c>
      <c r="D761" s="4">
        <v>4</v>
      </c>
      <c r="E761" s="4" t="s">
        <v>28</v>
      </c>
      <c r="F761" s="4">
        <v>49</v>
      </c>
      <c r="G761" s="4">
        <v>2006</v>
      </c>
      <c r="H761" s="4" t="s">
        <v>34</v>
      </c>
      <c r="I761" s="5">
        <v>0.21</v>
      </c>
      <c r="J761" s="4">
        <v>403</v>
      </c>
      <c r="K761" s="3">
        <v>1919</v>
      </c>
      <c r="L761" s="3">
        <v>145</v>
      </c>
      <c r="M761" s="5">
        <v>1.1000000000000001</v>
      </c>
      <c r="N761" s="5">
        <f t="shared" si="62"/>
        <v>5.238095238095239</v>
      </c>
      <c r="O761" s="5">
        <f t="shared" si="63"/>
        <v>5.4590570719602978</v>
      </c>
      <c r="P761" s="8">
        <v>39756</v>
      </c>
      <c r="Q761" s="6">
        <v>22.2</v>
      </c>
      <c r="R761" s="5">
        <v>3.08</v>
      </c>
      <c r="S761" s="6">
        <v>12.5</v>
      </c>
      <c r="T761" s="3"/>
    </row>
    <row r="762" spans="1:20" s="4" customFormat="1" ht="15" customHeight="1" x14ac:dyDescent="0.2">
      <c r="A762" s="4">
        <v>2008</v>
      </c>
      <c r="B762" s="4" t="s">
        <v>97</v>
      </c>
      <c r="C762" s="4">
        <v>3</v>
      </c>
      <c r="D762" s="4">
        <v>1</v>
      </c>
      <c r="E762" s="4" t="s">
        <v>28</v>
      </c>
      <c r="F762" s="4">
        <v>49</v>
      </c>
      <c r="G762" s="4">
        <v>2006</v>
      </c>
      <c r="H762" s="4" t="s">
        <v>34</v>
      </c>
      <c r="I762" s="5">
        <v>0.68</v>
      </c>
      <c r="J762" s="4">
        <v>1132</v>
      </c>
      <c r="K762" s="3">
        <v>1664</v>
      </c>
      <c r="L762" s="3">
        <v>145</v>
      </c>
      <c r="M762" s="5">
        <v>3</v>
      </c>
      <c r="N762" s="5">
        <f t="shared" si="62"/>
        <v>4.4117647058823524</v>
      </c>
      <c r="O762" s="5">
        <f t="shared" si="63"/>
        <v>5.3003533568904597</v>
      </c>
      <c r="P762" s="8">
        <v>39756</v>
      </c>
      <c r="Q762" s="6">
        <v>22.2</v>
      </c>
      <c r="R762" s="5">
        <v>3.08</v>
      </c>
      <c r="S762" s="6">
        <v>12.5</v>
      </c>
      <c r="T762" s="3"/>
    </row>
    <row r="763" spans="1:20" s="4" customFormat="1" ht="15" customHeight="1" x14ac:dyDescent="0.2">
      <c r="A763" s="4">
        <v>2008</v>
      </c>
      <c r="B763" s="4" t="s">
        <v>97</v>
      </c>
      <c r="C763" s="4">
        <v>3</v>
      </c>
      <c r="D763" s="4">
        <v>2</v>
      </c>
      <c r="E763" s="4" t="s">
        <v>28</v>
      </c>
      <c r="F763" s="4">
        <v>239</v>
      </c>
      <c r="G763" s="4">
        <v>1977</v>
      </c>
      <c r="H763" s="4" t="s">
        <v>66</v>
      </c>
      <c r="I763" s="5">
        <v>1.1299999999999999</v>
      </c>
      <c r="J763" s="4">
        <v>946</v>
      </c>
      <c r="K763" s="3">
        <v>837</v>
      </c>
      <c r="L763" s="3">
        <v>145</v>
      </c>
      <c r="M763" s="5">
        <v>4.5999999999999996</v>
      </c>
      <c r="N763" s="5">
        <f t="shared" si="62"/>
        <v>4.0707964601769913</v>
      </c>
      <c r="O763" s="5">
        <f t="shared" si="63"/>
        <v>9.7251585623678647</v>
      </c>
      <c r="P763" s="8">
        <v>39756</v>
      </c>
      <c r="Q763" s="6">
        <v>22.2</v>
      </c>
      <c r="R763" s="5">
        <v>3.08</v>
      </c>
      <c r="S763" s="6">
        <v>12.5</v>
      </c>
      <c r="T763" s="3"/>
    </row>
    <row r="764" spans="1:20" s="4" customFormat="1" ht="15" customHeight="1" x14ac:dyDescent="0.2">
      <c r="A764" s="4">
        <v>2008</v>
      </c>
      <c r="B764" s="4" t="s">
        <v>97</v>
      </c>
      <c r="C764" s="4">
        <v>3</v>
      </c>
      <c r="D764" s="4">
        <v>5</v>
      </c>
      <c r="E764" s="4" t="s">
        <v>28</v>
      </c>
      <c r="F764" s="4">
        <v>239</v>
      </c>
      <c r="G764" s="4">
        <v>1977</v>
      </c>
      <c r="H764" s="4" t="s">
        <v>69</v>
      </c>
      <c r="I764" s="5">
        <v>1.1299999999999999</v>
      </c>
      <c r="J764" s="4">
        <v>837</v>
      </c>
      <c r="K764" s="3">
        <f>(J764/I764)</f>
        <v>740.70796460176996</v>
      </c>
      <c r="L764" s="3"/>
      <c r="M764" s="5">
        <v>5.6</v>
      </c>
      <c r="N764" s="5">
        <f t="shared" si="62"/>
        <v>4.9557522123893802</v>
      </c>
      <c r="O764" s="5">
        <f t="shared" si="63"/>
        <v>13.381123058542414</v>
      </c>
      <c r="P764" s="8">
        <v>39741</v>
      </c>
      <c r="Q764" s="6">
        <v>22.8</v>
      </c>
      <c r="R764" s="5">
        <v>3.12</v>
      </c>
      <c r="S764" s="6">
        <v>11</v>
      </c>
      <c r="T764" s="3"/>
    </row>
    <row r="765" spans="1:20" s="4" customFormat="1" ht="15" customHeight="1" x14ac:dyDescent="0.2">
      <c r="A765" s="4">
        <v>2009</v>
      </c>
      <c r="B765" s="4" t="s">
        <v>97</v>
      </c>
      <c r="C765" s="4">
        <v>2</v>
      </c>
      <c r="D765" s="4">
        <v>1</v>
      </c>
      <c r="E765" s="4" t="s">
        <v>28</v>
      </c>
      <c r="F765" s="4">
        <v>49</v>
      </c>
      <c r="G765" s="4">
        <v>2006</v>
      </c>
      <c r="H765" s="4" t="s">
        <v>34</v>
      </c>
      <c r="I765" s="5">
        <v>0.68</v>
      </c>
      <c r="J765" s="4">
        <v>1132</v>
      </c>
      <c r="K765" s="3">
        <v>1664</v>
      </c>
      <c r="L765" s="3"/>
      <c r="M765" s="5"/>
      <c r="N765" s="5">
        <f t="shared" si="62"/>
        <v>0</v>
      </c>
      <c r="O765" s="5">
        <f t="shared" si="63"/>
        <v>0</v>
      </c>
      <c r="P765" s="8">
        <v>40105</v>
      </c>
      <c r="Q765" s="6">
        <v>23.4</v>
      </c>
      <c r="R765" s="5">
        <v>3.33</v>
      </c>
      <c r="S765" s="6">
        <v>7.4</v>
      </c>
      <c r="T765" s="3"/>
    </row>
    <row r="766" spans="1:20" s="4" customFormat="1" ht="15" customHeight="1" x14ac:dyDescent="0.2">
      <c r="A766" s="4">
        <v>2009</v>
      </c>
      <c r="B766" s="4" t="s">
        <v>97</v>
      </c>
      <c r="C766" s="4">
        <v>2</v>
      </c>
      <c r="D766" s="4">
        <v>2</v>
      </c>
      <c r="E766" s="4" t="s">
        <v>28</v>
      </c>
      <c r="F766" s="4">
        <v>49</v>
      </c>
      <c r="G766" s="4">
        <v>2006</v>
      </c>
      <c r="H766" s="4" t="s">
        <v>34</v>
      </c>
      <c r="I766" s="5">
        <v>1.58</v>
      </c>
      <c r="J766" s="4">
        <v>2737</v>
      </c>
      <c r="K766" s="3">
        <v>1732</v>
      </c>
      <c r="L766" s="3"/>
      <c r="M766" s="5"/>
      <c r="N766" s="5">
        <f t="shared" si="62"/>
        <v>0</v>
      </c>
      <c r="O766" s="5">
        <f t="shared" si="63"/>
        <v>0</v>
      </c>
      <c r="P766" s="8">
        <v>40105</v>
      </c>
      <c r="Q766" s="6">
        <v>23.4</v>
      </c>
      <c r="R766" s="5">
        <v>3.33</v>
      </c>
      <c r="S766" s="6">
        <v>7.4</v>
      </c>
      <c r="T766" s="3"/>
    </row>
    <row r="767" spans="1:20" s="4" customFormat="1" ht="15" customHeight="1" x14ac:dyDescent="0.2">
      <c r="A767" s="4">
        <v>2009</v>
      </c>
      <c r="B767" s="4" t="s">
        <v>97</v>
      </c>
      <c r="C767" s="4">
        <v>2</v>
      </c>
      <c r="D767" s="4">
        <v>4</v>
      </c>
      <c r="E767" s="4" t="s">
        <v>28</v>
      </c>
      <c r="F767" s="4">
        <v>49</v>
      </c>
      <c r="G767" s="4">
        <v>2006</v>
      </c>
      <c r="H767" s="4" t="s">
        <v>34</v>
      </c>
      <c r="I767" s="5">
        <v>0.21</v>
      </c>
      <c r="J767" s="4">
        <v>403</v>
      </c>
      <c r="K767" s="3">
        <v>1919</v>
      </c>
      <c r="L767" s="3">
        <v>145</v>
      </c>
      <c r="M767" s="5"/>
      <c r="N767" s="5">
        <f t="shared" si="62"/>
        <v>0</v>
      </c>
      <c r="O767" s="5">
        <f t="shared" si="63"/>
        <v>0</v>
      </c>
      <c r="P767" s="8">
        <v>40105</v>
      </c>
      <c r="Q767" s="6">
        <v>23.4</v>
      </c>
      <c r="R767" s="5">
        <v>3.33</v>
      </c>
      <c r="S767" s="6">
        <v>7.4</v>
      </c>
      <c r="T767" s="3"/>
    </row>
    <row r="768" spans="1:20" s="4" customFormat="1" ht="15" customHeight="1" x14ac:dyDescent="0.2">
      <c r="A768" s="4">
        <v>2009</v>
      </c>
      <c r="B768" s="4" t="s">
        <v>97</v>
      </c>
      <c r="C768" s="4">
        <v>3</v>
      </c>
      <c r="D768" s="4">
        <v>1</v>
      </c>
      <c r="E768" s="4" t="s">
        <v>28</v>
      </c>
      <c r="F768" s="4">
        <v>49</v>
      </c>
      <c r="G768" s="4">
        <v>2006</v>
      </c>
      <c r="H768" s="4" t="s">
        <v>34</v>
      </c>
      <c r="I768" s="5">
        <v>0.68</v>
      </c>
      <c r="J768" s="4">
        <v>1132</v>
      </c>
      <c r="K768" s="3">
        <v>1664</v>
      </c>
      <c r="L768" s="3"/>
      <c r="M768" s="5"/>
      <c r="N768" s="5">
        <f t="shared" si="62"/>
        <v>0</v>
      </c>
      <c r="O768" s="5">
        <f t="shared" si="63"/>
        <v>0</v>
      </c>
      <c r="P768" s="8">
        <v>40105</v>
      </c>
      <c r="Q768" s="6">
        <v>23.4</v>
      </c>
      <c r="R768" s="5">
        <v>3.33</v>
      </c>
      <c r="S768" s="6">
        <v>7.4</v>
      </c>
      <c r="T768" s="3"/>
    </row>
    <row r="769" spans="1:20" s="4" customFormat="1" ht="15" customHeight="1" x14ac:dyDescent="0.2">
      <c r="A769" s="4">
        <v>2009</v>
      </c>
      <c r="B769" s="4" t="s">
        <v>97</v>
      </c>
      <c r="C769" s="4">
        <v>3</v>
      </c>
      <c r="D769" s="4">
        <v>2</v>
      </c>
      <c r="E769" s="4" t="s">
        <v>28</v>
      </c>
      <c r="F769" s="4">
        <v>239</v>
      </c>
      <c r="G769" s="4">
        <v>1977</v>
      </c>
      <c r="H769" s="4" t="s">
        <v>66</v>
      </c>
      <c r="I769" s="5">
        <v>1.1299999999999999</v>
      </c>
      <c r="J769" s="4">
        <v>946</v>
      </c>
      <c r="K769" s="3">
        <v>837</v>
      </c>
      <c r="L769" s="3">
        <v>185</v>
      </c>
      <c r="M769" s="5">
        <v>8.6</v>
      </c>
      <c r="N769" s="5">
        <f t="shared" si="62"/>
        <v>7.610619469026549</v>
      </c>
      <c r="O769" s="5">
        <f t="shared" si="63"/>
        <v>18.181818181818183</v>
      </c>
      <c r="P769" s="8">
        <v>40105</v>
      </c>
      <c r="Q769" s="6">
        <v>23.4</v>
      </c>
      <c r="R769" s="5">
        <v>3.33</v>
      </c>
      <c r="S769" s="6">
        <v>7.4</v>
      </c>
      <c r="T769" s="3"/>
    </row>
    <row r="770" spans="1:20" s="4" customFormat="1" ht="15" customHeight="1" x14ac:dyDescent="0.2">
      <c r="A770" s="4">
        <v>2009</v>
      </c>
      <c r="B770" s="4" t="s">
        <v>97</v>
      </c>
      <c r="C770" s="4">
        <v>3</v>
      </c>
      <c r="D770" s="4">
        <v>5</v>
      </c>
      <c r="E770" s="4" t="s">
        <v>28</v>
      </c>
      <c r="F770" s="4">
        <v>239</v>
      </c>
      <c r="G770" s="4">
        <v>1977</v>
      </c>
      <c r="H770" s="4" t="s">
        <v>69</v>
      </c>
      <c r="I770" s="5">
        <v>1.1299999999999999</v>
      </c>
      <c r="J770" s="4">
        <v>837</v>
      </c>
      <c r="K770" s="3">
        <f>(J770/I770)</f>
        <v>740.70796460176996</v>
      </c>
      <c r="L770" s="3"/>
      <c r="M770" s="5">
        <v>6.3</v>
      </c>
      <c r="N770" s="5">
        <f t="shared" si="62"/>
        <v>5.5752212389380533</v>
      </c>
      <c r="O770" s="5">
        <f t="shared" si="63"/>
        <v>15.053763440860216</v>
      </c>
      <c r="P770" s="8"/>
      <c r="Q770" s="6"/>
      <c r="R770" s="5"/>
      <c r="S770" s="6"/>
      <c r="T770" s="3"/>
    </row>
    <row r="771" spans="1:20" s="4" customFormat="1" ht="15" customHeight="1" x14ac:dyDescent="0.2">
      <c r="A771" s="4">
        <v>2010</v>
      </c>
      <c r="B771" s="4" t="s">
        <v>97</v>
      </c>
      <c r="C771" s="4">
        <v>2</v>
      </c>
      <c r="D771" s="4">
        <v>1</v>
      </c>
      <c r="E771" s="4" t="s">
        <v>28</v>
      </c>
      <c r="F771" s="4">
        <v>49</v>
      </c>
      <c r="G771" s="4">
        <v>2006</v>
      </c>
      <c r="H771" s="4" t="s">
        <v>34</v>
      </c>
      <c r="I771" s="5">
        <v>0.68</v>
      </c>
      <c r="J771" s="4">
        <v>1132</v>
      </c>
      <c r="K771" s="3">
        <v>1664</v>
      </c>
      <c r="L771" s="3"/>
      <c r="M771" s="5"/>
      <c r="N771" s="5">
        <f t="shared" si="62"/>
        <v>0</v>
      </c>
      <c r="O771" s="5">
        <f t="shared" si="63"/>
        <v>0</v>
      </c>
      <c r="P771" s="8"/>
      <c r="Q771" s="6"/>
      <c r="R771" s="5"/>
      <c r="S771" s="6"/>
      <c r="T771" s="3"/>
    </row>
    <row r="772" spans="1:20" s="4" customFormat="1" ht="15" customHeight="1" x14ac:dyDescent="0.2">
      <c r="A772" s="4">
        <v>2010</v>
      </c>
      <c r="B772" s="4" t="s">
        <v>97</v>
      </c>
      <c r="C772" s="4">
        <v>2</v>
      </c>
      <c r="D772" s="4">
        <v>2</v>
      </c>
      <c r="E772" s="4" t="s">
        <v>28</v>
      </c>
      <c r="F772" s="4">
        <v>49</v>
      </c>
      <c r="G772" s="4">
        <v>2006</v>
      </c>
      <c r="H772" s="4" t="s">
        <v>34</v>
      </c>
      <c r="I772" s="5">
        <v>1.58</v>
      </c>
      <c r="J772" s="4">
        <v>2737</v>
      </c>
      <c r="K772" s="3">
        <v>1732</v>
      </c>
      <c r="L772" s="3"/>
      <c r="M772" s="5">
        <v>21.9</v>
      </c>
      <c r="N772" s="5">
        <f t="shared" si="62"/>
        <v>13.860759493670885</v>
      </c>
      <c r="O772" s="5">
        <f t="shared" si="63"/>
        <v>16.002922908293751</v>
      </c>
      <c r="P772" s="8">
        <v>40480</v>
      </c>
      <c r="Q772" s="6">
        <v>21</v>
      </c>
      <c r="R772" s="5">
        <v>3.03</v>
      </c>
      <c r="S772" s="6">
        <v>10.1</v>
      </c>
      <c r="T772" s="3"/>
    </row>
    <row r="773" spans="1:20" s="4" customFormat="1" ht="15" customHeight="1" x14ac:dyDescent="0.2">
      <c r="A773" s="4">
        <v>2010</v>
      </c>
      <c r="B773" s="4" t="s">
        <v>97</v>
      </c>
      <c r="C773" s="4">
        <v>2</v>
      </c>
      <c r="D773" s="4">
        <v>4</v>
      </c>
      <c r="E773" s="4" t="s">
        <v>28</v>
      </c>
      <c r="F773" s="4">
        <v>49</v>
      </c>
      <c r="G773" s="4">
        <v>2006</v>
      </c>
      <c r="H773" s="4" t="s">
        <v>34</v>
      </c>
      <c r="I773" s="5">
        <v>0.21</v>
      </c>
      <c r="J773" s="4">
        <v>403</v>
      </c>
      <c r="K773" s="3">
        <v>1919</v>
      </c>
      <c r="L773" s="3">
        <v>145</v>
      </c>
      <c r="M773" s="5"/>
      <c r="N773" s="5">
        <f t="shared" si="62"/>
        <v>0</v>
      </c>
      <c r="O773" s="5">
        <f t="shared" si="63"/>
        <v>0</v>
      </c>
      <c r="P773" s="8"/>
      <c r="Q773" s="6"/>
      <c r="R773" s="5"/>
      <c r="S773" s="6"/>
      <c r="T773" s="3"/>
    </row>
    <row r="774" spans="1:20" s="4" customFormat="1" ht="15" customHeight="1" x14ac:dyDescent="0.2">
      <c r="A774" s="4">
        <v>2010</v>
      </c>
      <c r="B774" s="4" t="s">
        <v>97</v>
      </c>
      <c r="C774" s="4">
        <v>3</v>
      </c>
      <c r="D774" s="4">
        <v>1</v>
      </c>
      <c r="E774" s="4" t="s">
        <v>28</v>
      </c>
      <c r="F774" s="4">
        <v>49</v>
      </c>
      <c r="G774" s="4">
        <v>2006</v>
      </c>
      <c r="H774" s="4" t="s">
        <v>34</v>
      </c>
      <c r="I774" s="5">
        <v>0.68</v>
      </c>
      <c r="J774" s="4">
        <v>1132</v>
      </c>
      <c r="K774" s="3">
        <v>1664</v>
      </c>
      <c r="L774" s="3"/>
      <c r="M774" s="5"/>
      <c r="N774" s="5">
        <f t="shared" si="62"/>
        <v>0</v>
      </c>
      <c r="O774" s="5">
        <f t="shared" si="63"/>
        <v>0</v>
      </c>
      <c r="P774" s="8"/>
      <c r="Q774" s="6"/>
      <c r="R774" s="5"/>
      <c r="S774" s="6"/>
      <c r="T774" s="3"/>
    </row>
    <row r="775" spans="1:20" s="4" customFormat="1" ht="15" customHeight="1" x14ac:dyDescent="0.2">
      <c r="A775" s="4">
        <v>2010</v>
      </c>
      <c r="B775" s="4" t="s">
        <v>97</v>
      </c>
      <c r="C775" s="4">
        <v>3</v>
      </c>
      <c r="D775" s="4">
        <v>2</v>
      </c>
      <c r="E775" s="4" t="s">
        <v>28</v>
      </c>
      <c r="F775" s="4">
        <v>239</v>
      </c>
      <c r="G775" s="4">
        <v>1977</v>
      </c>
      <c r="H775" s="4" t="s">
        <v>66</v>
      </c>
      <c r="I775" s="5">
        <v>1.1299999999999999</v>
      </c>
      <c r="J775" s="4">
        <v>946</v>
      </c>
      <c r="K775" s="3">
        <v>837</v>
      </c>
      <c r="L775" s="3"/>
      <c r="M775" s="5"/>
      <c r="N775" s="5">
        <f t="shared" si="62"/>
        <v>0</v>
      </c>
      <c r="O775" s="5">
        <f t="shared" si="63"/>
        <v>0</v>
      </c>
      <c r="P775" s="8"/>
      <c r="Q775" s="6"/>
      <c r="R775" s="5"/>
      <c r="S775" s="6"/>
      <c r="T775" s="3"/>
    </row>
    <row r="776" spans="1:20" s="4" customFormat="1" ht="15" customHeight="1" x14ac:dyDescent="0.2">
      <c r="A776" s="4">
        <v>2010</v>
      </c>
      <c r="B776" s="4" t="s">
        <v>97</v>
      </c>
      <c r="C776" s="4">
        <v>3</v>
      </c>
      <c r="D776" s="4">
        <v>5</v>
      </c>
      <c r="E776" s="4" t="s">
        <v>28</v>
      </c>
      <c r="F776" s="4">
        <v>239</v>
      </c>
      <c r="G776" s="4">
        <v>1977</v>
      </c>
      <c r="H776" s="4" t="s">
        <v>69</v>
      </c>
      <c r="I776" s="5">
        <v>1.1299999999999999</v>
      </c>
      <c r="J776" s="4">
        <v>837</v>
      </c>
      <c r="K776" s="3">
        <v>741</v>
      </c>
      <c r="L776" s="3"/>
      <c r="M776" s="5">
        <v>5.4</v>
      </c>
      <c r="N776" s="5">
        <f t="shared" si="62"/>
        <v>4.778761061946903</v>
      </c>
      <c r="O776" s="5">
        <f t="shared" si="63"/>
        <v>12.903225806451612</v>
      </c>
      <c r="P776" s="8">
        <v>40479</v>
      </c>
      <c r="Q776" s="6"/>
      <c r="R776" s="5"/>
      <c r="S776" s="6"/>
      <c r="T776" s="3"/>
    </row>
    <row r="777" spans="1:20" s="4" customFormat="1" ht="15" customHeight="1" x14ac:dyDescent="0.2">
      <c r="A777" s="4">
        <v>2011</v>
      </c>
      <c r="B777" s="4" t="s">
        <v>97</v>
      </c>
      <c r="C777" s="4">
        <v>2</v>
      </c>
      <c r="D777" s="4">
        <v>1</v>
      </c>
      <c r="E777" s="4" t="s">
        <v>28</v>
      </c>
      <c r="F777" s="4">
        <v>49</v>
      </c>
      <c r="G777" s="4">
        <v>2006</v>
      </c>
      <c r="H777" s="4" t="s">
        <v>34</v>
      </c>
      <c r="I777" s="5">
        <v>0.68</v>
      </c>
      <c r="J777" s="4">
        <v>1132</v>
      </c>
      <c r="K777" s="3">
        <v>1664</v>
      </c>
      <c r="L777" s="3">
        <v>200</v>
      </c>
      <c r="M777" s="5">
        <v>8.1199999999999992</v>
      </c>
      <c r="N777" s="5">
        <f t="shared" si="62"/>
        <v>11.941176470588234</v>
      </c>
      <c r="O777" s="5">
        <f t="shared" si="63"/>
        <v>14.346289752650176</v>
      </c>
      <c r="P777" s="8">
        <v>40850</v>
      </c>
      <c r="Q777" s="6">
        <v>19.600000000000001</v>
      </c>
      <c r="R777" s="5">
        <v>3.38</v>
      </c>
      <c r="S777" s="6">
        <v>10</v>
      </c>
      <c r="T777" s="3"/>
    </row>
    <row r="778" spans="1:20" s="4" customFormat="1" ht="15" customHeight="1" x14ac:dyDescent="0.2">
      <c r="A778" s="4">
        <v>2011</v>
      </c>
      <c r="B778" s="4" t="s">
        <v>97</v>
      </c>
      <c r="C778" s="4">
        <v>2</v>
      </c>
      <c r="D778" s="4">
        <v>2</v>
      </c>
      <c r="E778" s="4" t="s">
        <v>28</v>
      </c>
      <c r="F778" s="4">
        <v>49</v>
      </c>
      <c r="G778" s="4">
        <v>2006</v>
      </c>
      <c r="H778" s="4" t="s">
        <v>34</v>
      </c>
      <c r="I778" s="5">
        <v>1.58</v>
      </c>
      <c r="J778" s="4">
        <v>2737</v>
      </c>
      <c r="K778" s="3">
        <v>1732</v>
      </c>
      <c r="L778" s="3">
        <v>190</v>
      </c>
      <c r="M778" s="5">
        <v>7.29</v>
      </c>
      <c r="N778" s="5">
        <f t="shared" si="62"/>
        <v>4.6139240506329111</v>
      </c>
      <c r="O778" s="5">
        <f t="shared" si="63"/>
        <v>5.3270003653635367</v>
      </c>
      <c r="P778" s="8">
        <v>40850</v>
      </c>
      <c r="Q778" s="6">
        <v>19.8</v>
      </c>
      <c r="R778" s="5">
        <v>3.4</v>
      </c>
      <c r="S778" s="6">
        <v>10.4</v>
      </c>
      <c r="T778" s="3"/>
    </row>
    <row r="779" spans="1:20" s="4" customFormat="1" ht="15" customHeight="1" x14ac:dyDescent="0.2">
      <c r="A779" s="4">
        <v>2011</v>
      </c>
      <c r="B779" s="4" t="s">
        <v>97</v>
      </c>
      <c r="C779" s="4">
        <v>2</v>
      </c>
      <c r="D779" s="4">
        <v>4</v>
      </c>
      <c r="E779" s="4" t="s">
        <v>28</v>
      </c>
      <c r="F779" s="4">
        <v>49</v>
      </c>
      <c r="G779" s="4">
        <v>2006</v>
      </c>
      <c r="H779" s="4" t="s">
        <v>34</v>
      </c>
      <c r="I779" s="5">
        <v>0.21</v>
      </c>
      <c r="J779" s="4">
        <v>403</v>
      </c>
      <c r="K779" s="3">
        <v>1919</v>
      </c>
      <c r="L779" s="3">
        <v>190</v>
      </c>
      <c r="M779" s="5">
        <v>1.1200000000000001</v>
      </c>
      <c r="N779" s="5">
        <f t="shared" si="62"/>
        <v>5.3333333333333339</v>
      </c>
      <c r="O779" s="5">
        <f t="shared" si="63"/>
        <v>5.5583126550868487</v>
      </c>
      <c r="P779" s="8">
        <v>40850</v>
      </c>
      <c r="Q779" s="6">
        <v>20</v>
      </c>
      <c r="R779" s="5">
        <v>3.37</v>
      </c>
      <c r="S779" s="6">
        <v>9.9</v>
      </c>
      <c r="T779" s="3"/>
    </row>
    <row r="780" spans="1:20" s="4" customFormat="1" ht="15" customHeight="1" x14ac:dyDescent="0.2">
      <c r="A780" s="4">
        <v>2011</v>
      </c>
      <c r="B780" s="4" t="s">
        <v>97</v>
      </c>
      <c r="C780" s="4">
        <v>3</v>
      </c>
      <c r="D780" s="4">
        <v>1</v>
      </c>
      <c r="E780" s="4" t="s">
        <v>28</v>
      </c>
      <c r="F780" s="4">
        <v>49</v>
      </c>
      <c r="G780" s="4">
        <v>2006</v>
      </c>
      <c r="H780" s="4" t="s">
        <v>34</v>
      </c>
      <c r="I780" s="5">
        <v>0.68</v>
      </c>
      <c r="J780" s="4">
        <v>1132</v>
      </c>
      <c r="K780" s="3">
        <v>1664</v>
      </c>
      <c r="L780" s="3">
        <v>225</v>
      </c>
      <c r="M780" s="5">
        <v>5.04</v>
      </c>
      <c r="N780" s="5">
        <f t="shared" si="62"/>
        <v>7.4117647058823524</v>
      </c>
      <c r="O780" s="5">
        <f t="shared" si="63"/>
        <v>8.9045936395759711</v>
      </c>
      <c r="P780" s="8">
        <v>40851</v>
      </c>
      <c r="Q780" s="6">
        <v>20</v>
      </c>
      <c r="R780" s="5">
        <v>3.37</v>
      </c>
      <c r="S780" s="6">
        <v>9.9</v>
      </c>
      <c r="T780" s="3"/>
    </row>
    <row r="781" spans="1:20" s="4" customFormat="1" ht="15" customHeight="1" x14ac:dyDescent="0.2">
      <c r="A781" s="4">
        <v>2011</v>
      </c>
      <c r="B781" s="4" t="s">
        <v>97</v>
      </c>
      <c r="C781" s="4">
        <v>3</v>
      </c>
      <c r="D781" s="4">
        <v>2</v>
      </c>
      <c r="E781" s="4" t="s">
        <v>28</v>
      </c>
      <c r="F781" s="4">
        <v>239</v>
      </c>
      <c r="G781" s="4">
        <v>1977</v>
      </c>
      <c r="H781" s="4" t="s">
        <v>66</v>
      </c>
      <c r="I781" s="5">
        <v>1.1299999999999999</v>
      </c>
      <c r="J781" s="4">
        <v>946</v>
      </c>
      <c r="K781" s="3">
        <v>837</v>
      </c>
      <c r="L781" s="3">
        <v>202</v>
      </c>
      <c r="M781" s="5">
        <v>4.18</v>
      </c>
      <c r="N781" s="5">
        <f t="shared" si="62"/>
        <v>3.6991150442477876</v>
      </c>
      <c r="O781" s="5">
        <f t="shared" si="63"/>
        <v>8.8372093023255811</v>
      </c>
      <c r="P781" s="8">
        <v>40850</v>
      </c>
      <c r="Q781" s="6">
        <v>20</v>
      </c>
      <c r="R781" s="5">
        <v>3.37</v>
      </c>
      <c r="S781" s="6">
        <v>9.9</v>
      </c>
      <c r="T781" s="3"/>
    </row>
    <row r="782" spans="1:20" s="4" customFormat="1" ht="15" customHeight="1" x14ac:dyDescent="0.2">
      <c r="A782" s="4">
        <v>2011</v>
      </c>
      <c r="B782" s="4" t="s">
        <v>97</v>
      </c>
      <c r="C782" s="4">
        <v>3</v>
      </c>
      <c r="D782" s="4">
        <v>5</v>
      </c>
      <c r="E782" s="4" t="s">
        <v>28</v>
      </c>
      <c r="F782" s="4">
        <v>239</v>
      </c>
      <c r="G782" s="4">
        <v>1977</v>
      </c>
      <c r="H782" s="4" t="s">
        <v>69</v>
      </c>
      <c r="I782" s="5">
        <v>1.1299999999999999</v>
      </c>
      <c r="J782" s="4">
        <v>837</v>
      </c>
      <c r="K782" s="3">
        <v>741</v>
      </c>
      <c r="L782" s="3"/>
      <c r="M782" s="5">
        <v>5.68</v>
      </c>
      <c r="N782" s="5">
        <f t="shared" si="62"/>
        <v>5.0265486725663715</v>
      </c>
      <c r="O782" s="5">
        <f t="shared" si="63"/>
        <v>13.572281959378733</v>
      </c>
      <c r="P782" s="8"/>
      <c r="Q782" s="6"/>
      <c r="R782" s="5"/>
      <c r="S782" s="6"/>
      <c r="T782" s="3"/>
    </row>
    <row r="783" spans="1:20" s="4" customFormat="1" ht="15" customHeight="1" x14ac:dyDescent="0.2">
      <c r="A783" s="4">
        <v>2012</v>
      </c>
      <c r="B783" s="4" t="s">
        <v>97</v>
      </c>
      <c r="C783" s="4">
        <v>2</v>
      </c>
      <c r="D783" s="4">
        <v>1</v>
      </c>
      <c r="E783" s="4" t="s">
        <v>28</v>
      </c>
      <c r="F783" s="4">
        <v>49</v>
      </c>
      <c r="G783" s="4">
        <v>2006</v>
      </c>
      <c r="H783" s="4" t="s">
        <v>34</v>
      </c>
      <c r="I783" s="5">
        <v>0.68</v>
      </c>
      <c r="J783" s="4">
        <v>1132</v>
      </c>
      <c r="K783" s="3">
        <v>1664</v>
      </c>
      <c r="L783" s="3"/>
      <c r="M783" s="5">
        <v>1.96</v>
      </c>
      <c r="N783" s="5">
        <f t="shared" si="62"/>
        <v>2.8823529411764701</v>
      </c>
      <c r="O783" s="5">
        <f t="shared" si="63"/>
        <v>3.462897526501767</v>
      </c>
      <c r="P783" s="8">
        <v>41206</v>
      </c>
      <c r="Q783" s="6">
        <v>19</v>
      </c>
      <c r="R783" s="5">
        <v>2.94</v>
      </c>
      <c r="S783" s="6">
        <v>8.85</v>
      </c>
      <c r="T783" s="3"/>
    </row>
    <row r="784" spans="1:20" s="4" customFormat="1" ht="15" customHeight="1" x14ac:dyDescent="0.2">
      <c r="A784" s="4">
        <v>2012</v>
      </c>
      <c r="B784" s="4" t="s">
        <v>97</v>
      </c>
      <c r="C784" s="4">
        <v>2</v>
      </c>
      <c r="D784" s="4">
        <v>2</v>
      </c>
      <c r="E784" s="4" t="s">
        <v>28</v>
      </c>
      <c r="F784" s="4">
        <v>49</v>
      </c>
      <c r="G784" s="4">
        <v>2006</v>
      </c>
      <c r="H784" s="4" t="s">
        <v>34</v>
      </c>
      <c r="I784" s="5">
        <v>1.58</v>
      </c>
      <c r="J784" s="4">
        <v>2737</v>
      </c>
      <c r="K784" s="3">
        <v>1732</v>
      </c>
      <c r="L784" s="3"/>
      <c r="M784" s="5">
        <v>8.48</v>
      </c>
      <c r="N784" s="5">
        <f t="shared" si="62"/>
        <v>5.3670886075949369</v>
      </c>
      <c r="O784" s="5">
        <f t="shared" si="63"/>
        <v>6.1965655827548414</v>
      </c>
      <c r="P784" s="8">
        <v>41206</v>
      </c>
      <c r="Q784" s="6">
        <v>20.6</v>
      </c>
      <c r="R784" s="5">
        <v>2.99</v>
      </c>
      <c r="S784" s="6">
        <v>9.41</v>
      </c>
      <c r="T784" s="3"/>
    </row>
    <row r="785" spans="1:20" s="4" customFormat="1" ht="15" customHeight="1" x14ac:dyDescent="0.2">
      <c r="A785" s="4">
        <v>2012</v>
      </c>
      <c r="B785" s="4" t="s">
        <v>97</v>
      </c>
      <c r="C785" s="4">
        <v>2</v>
      </c>
      <c r="D785" s="4">
        <v>4</v>
      </c>
      <c r="E785" s="4" t="s">
        <v>28</v>
      </c>
      <c r="F785" s="4">
        <v>49</v>
      </c>
      <c r="G785" s="4">
        <v>2006</v>
      </c>
      <c r="H785" s="4" t="s">
        <v>34</v>
      </c>
      <c r="I785" s="5">
        <v>0.21</v>
      </c>
      <c r="J785" s="4">
        <v>403</v>
      </c>
      <c r="K785" s="3">
        <v>1919</v>
      </c>
      <c r="L785" s="3">
        <v>145</v>
      </c>
      <c r="M785" s="5"/>
      <c r="N785" s="5">
        <f t="shared" si="62"/>
        <v>0</v>
      </c>
      <c r="O785" s="5">
        <f t="shared" si="63"/>
        <v>0</v>
      </c>
      <c r="P785" s="8"/>
      <c r="Q785" s="6"/>
      <c r="R785" s="5"/>
      <c r="S785" s="6"/>
      <c r="T785" s="3"/>
    </row>
    <row r="786" spans="1:20" s="4" customFormat="1" ht="15" customHeight="1" x14ac:dyDescent="0.2">
      <c r="A786" s="4">
        <v>2012</v>
      </c>
      <c r="B786" s="4" t="s">
        <v>97</v>
      </c>
      <c r="C786" s="4">
        <v>3</v>
      </c>
      <c r="D786" s="4">
        <v>1</v>
      </c>
      <c r="E786" s="4" t="s">
        <v>28</v>
      </c>
      <c r="F786" s="4">
        <v>49</v>
      </c>
      <c r="G786" s="4">
        <v>2006</v>
      </c>
      <c r="H786" s="4" t="s">
        <v>34</v>
      </c>
      <c r="I786" s="5">
        <v>0.68</v>
      </c>
      <c r="J786" s="4">
        <v>1132</v>
      </c>
      <c r="K786" s="3">
        <v>1664</v>
      </c>
      <c r="L786" s="3"/>
      <c r="M786" s="5"/>
      <c r="N786" s="5">
        <f t="shared" si="62"/>
        <v>0</v>
      </c>
      <c r="O786" s="5">
        <f t="shared" si="63"/>
        <v>0</v>
      </c>
      <c r="P786" s="8"/>
      <c r="Q786" s="6"/>
      <c r="R786" s="5"/>
      <c r="S786" s="6"/>
      <c r="T786" s="3"/>
    </row>
    <row r="787" spans="1:20" s="4" customFormat="1" ht="15" customHeight="1" x14ac:dyDescent="0.2">
      <c r="A787" s="4">
        <v>2012</v>
      </c>
      <c r="B787" s="4" t="s">
        <v>97</v>
      </c>
      <c r="C787" s="4">
        <v>3</v>
      </c>
      <c r="D787" s="4">
        <v>2</v>
      </c>
      <c r="E787" s="4" t="s">
        <v>28</v>
      </c>
      <c r="F787" s="4">
        <v>239</v>
      </c>
      <c r="G787" s="4">
        <v>1977</v>
      </c>
      <c r="H787" s="4" t="s">
        <v>66</v>
      </c>
      <c r="I787" s="5">
        <v>1.1299999999999999</v>
      </c>
      <c r="J787" s="4">
        <v>946</v>
      </c>
      <c r="K787" s="3">
        <v>837</v>
      </c>
      <c r="L787" s="3"/>
      <c r="M787" s="5"/>
      <c r="N787" s="5">
        <f t="shared" si="62"/>
        <v>0</v>
      </c>
      <c r="O787" s="5">
        <f t="shared" si="63"/>
        <v>0</v>
      </c>
      <c r="P787" s="8"/>
      <c r="Q787" s="6"/>
      <c r="R787" s="5"/>
      <c r="S787" s="6"/>
      <c r="T787" s="3"/>
    </row>
    <row r="788" spans="1:20" s="4" customFormat="1" ht="15" customHeight="1" x14ac:dyDescent="0.2">
      <c r="A788" s="4">
        <v>2012</v>
      </c>
      <c r="B788" s="4" t="s">
        <v>97</v>
      </c>
      <c r="C788" s="4">
        <v>3</v>
      </c>
      <c r="D788" s="4">
        <v>5</v>
      </c>
      <c r="E788" s="4" t="s">
        <v>28</v>
      </c>
      <c r="F788" s="4">
        <v>239</v>
      </c>
      <c r="G788" s="4">
        <v>1977</v>
      </c>
      <c r="H788" s="4" t="s">
        <v>69</v>
      </c>
      <c r="I788" s="5">
        <v>1.1299999999999999</v>
      </c>
      <c r="J788" s="4">
        <v>837</v>
      </c>
      <c r="K788" s="3">
        <v>741</v>
      </c>
      <c r="L788" s="3"/>
      <c r="M788" s="5"/>
      <c r="N788" s="5">
        <f t="shared" si="62"/>
        <v>0</v>
      </c>
      <c r="O788" s="5">
        <f t="shared" si="63"/>
        <v>0</v>
      </c>
      <c r="P788" s="8"/>
      <c r="Q788" s="6"/>
      <c r="R788" s="5"/>
      <c r="S788" s="6"/>
      <c r="T788" s="3"/>
    </row>
    <row r="789" spans="1:20" s="4" customFormat="1" ht="15" customHeight="1" x14ac:dyDescent="0.2">
      <c r="A789" s="4">
        <v>2010</v>
      </c>
      <c r="B789" s="4" t="s">
        <v>122</v>
      </c>
      <c r="C789" s="4">
        <v>1</v>
      </c>
      <c r="D789" s="4" t="s">
        <v>123</v>
      </c>
      <c r="E789" s="4" t="s">
        <v>28</v>
      </c>
      <c r="F789" s="4">
        <v>49</v>
      </c>
      <c r="G789" s="4">
        <v>2008</v>
      </c>
      <c r="H789" s="4" t="s">
        <v>76</v>
      </c>
      <c r="I789" s="5">
        <f>2.01+3.02+1.12</f>
        <v>6.1499999999999995</v>
      </c>
      <c r="J789" s="4">
        <f>2015+5195+3235</f>
        <v>10445</v>
      </c>
      <c r="K789" s="3">
        <f>(J789/I789)</f>
        <v>1698.3739837398375</v>
      </c>
      <c r="L789" s="3"/>
      <c r="M789" s="5">
        <v>10.9</v>
      </c>
      <c r="N789" s="5">
        <f>(M789/I789)</f>
        <v>1.7723577235772361</v>
      </c>
      <c r="O789" s="5">
        <f>(M789*2000)/J789</f>
        <v>2.0871230253709907</v>
      </c>
      <c r="P789" s="8">
        <v>40481</v>
      </c>
      <c r="Q789" s="6">
        <v>23.6</v>
      </c>
      <c r="R789" s="5">
        <v>2.96</v>
      </c>
      <c r="S789" s="6">
        <v>9.9</v>
      </c>
      <c r="T789" s="3"/>
    </row>
    <row r="790" spans="1:20" s="4" customFormat="1" ht="15" customHeight="1" x14ac:dyDescent="0.2">
      <c r="A790" s="4">
        <v>2011</v>
      </c>
      <c r="B790" s="4" t="s">
        <v>122</v>
      </c>
      <c r="C790" s="4">
        <v>1</v>
      </c>
      <c r="D790" s="4" t="s">
        <v>124</v>
      </c>
      <c r="E790" s="4" t="s">
        <v>28</v>
      </c>
      <c r="F790" s="4">
        <v>49</v>
      </c>
      <c r="G790" s="4">
        <v>2008</v>
      </c>
      <c r="H790" s="4" t="s">
        <v>76</v>
      </c>
      <c r="I790" s="5">
        <f>2.01+3.02+1.12</f>
        <v>6.1499999999999995</v>
      </c>
      <c r="J790" s="4">
        <f>2015+5195+3235</f>
        <v>10445</v>
      </c>
      <c r="K790" s="3">
        <f>(J790/I790)</f>
        <v>1698.3739837398375</v>
      </c>
      <c r="L790" s="3"/>
      <c r="M790" s="5">
        <v>38.869999999999997</v>
      </c>
      <c r="N790" s="5">
        <f>(M790/I790)</f>
        <v>6.3203252032520325</v>
      </c>
      <c r="O790" s="5">
        <f>(M790*2000)/J790</f>
        <v>7.4427955959789376</v>
      </c>
      <c r="P790" s="8">
        <v>40853</v>
      </c>
      <c r="Q790" s="6">
        <v>20</v>
      </c>
      <c r="R790" s="5">
        <v>3.06</v>
      </c>
      <c r="S790" s="6">
        <v>10.9</v>
      </c>
      <c r="T790" s="3"/>
    </row>
    <row r="791" spans="1:20" s="4" customFormat="1" ht="15" customHeight="1" x14ac:dyDescent="0.2">
      <c r="A791" s="4">
        <v>2012</v>
      </c>
      <c r="B791" s="4" t="s">
        <v>122</v>
      </c>
      <c r="C791" s="4">
        <v>1</v>
      </c>
      <c r="D791" s="4" t="s">
        <v>124</v>
      </c>
      <c r="E791" s="4" t="s">
        <v>28</v>
      </c>
      <c r="F791" s="4">
        <v>49</v>
      </c>
      <c r="G791" s="4">
        <v>2008</v>
      </c>
      <c r="H791" s="4" t="s">
        <v>76</v>
      </c>
      <c r="I791" s="5">
        <f>2.01+3.02+1.12</f>
        <v>6.1499999999999995</v>
      </c>
      <c r="J791" s="4">
        <f>2015+5195+3235</f>
        <v>10445</v>
      </c>
      <c r="K791" s="3">
        <f>(J791/I791)</f>
        <v>1698.3739837398375</v>
      </c>
      <c r="L791" s="3"/>
      <c r="M791" s="5">
        <f>12.64+23.79</f>
        <v>36.43</v>
      </c>
      <c r="N791" s="5">
        <f>(M791/I791)</f>
        <v>5.923577235772358</v>
      </c>
      <c r="O791" s="5">
        <f>(M791*2000)/J791</f>
        <v>6.9755864049784586</v>
      </c>
      <c r="P791" s="8" t="s">
        <v>77</v>
      </c>
      <c r="Q791" s="6">
        <f>(20+20.6+20.8+20)/4</f>
        <v>20.350000000000001</v>
      </c>
      <c r="R791" s="5">
        <f>(3.08+2.99+3+3.16)/4</f>
        <v>3.0575000000000001</v>
      </c>
      <c r="S791" s="6">
        <f>(9.97+10.35+10.23+9.37)/4</f>
        <v>9.98</v>
      </c>
      <c r="T791" s="3"/>
    </row>
    <row r="792" spans="1:20" s="4" customFormat="1" ht="15" customHeight="1" x14ac:dyDescent="0.2">
      <c r="A792" s="4">
        <v>2000</v>
      </c>
      <c r="B792" s="4" t="s">
        <v>91</v>
      </c>
      <c r="C792" s="4">
        <v>2</v>
      </c>
      <c r="D792" s="4">
        <v>1</v>
      </c>
      <c r="E792" s="4" t="s">
        <v>28</v>
      </c>
      <c r="F792" s="4" t="s">
        <v>29</v>
      </c>
      <c r="G792" s="4">
        <v>1987</v>
      </c>
      <c r="H792" s="4" t="s">
        <v>24</v>
      </c>
      <c r="I792" s="5">
        <v>2.86</v>
      </c>
      <c r="J792" s="3">
        <v>3078</v>
      </c>
      <c r="K792" s="3">
        <f t="shared" ref="K792:K806" si="64">SUM(J792/I792)</f>
        <v>1076.2237762237762</v>
      </c>
      <c r="L792" s="3">
        <v>213</v>
      </c>
      <c r="M792" s="5">
        <v>13.246</v>
      </c>
      <c r="N792" s="5">
        <f>SUM(M792)/I792</f>
        <v>4.6314685314685322</v>
      </c>
      <c r="O792" s="5">
        <f>SUM(M792*2000)/J792</f>
        <v>8.6068875893437298</v>
      </c>
      <c r="P792" s="8">
        <v>36827</v>
      </c>
      <c r="Q792" s="6">
        <v>20.5</v>
      </c>
      <c r="R792" s="5">
        <v>2.85</v>
      </c>
      <c r="S792" s="6">
        <v>13.8</v>
      </c>
      <c r="T792" s="3"/>
    </row>
    <row r="793" spans="1:20" s="4" customFormat="1" ht="15" customHeight="1" x14ac:dyDescent="0.2">
      <c r="A793" s="4">
        <v>2000</v>
      </c>
      <c r="B793" s="4" t="s">
        <v>91</v>
      </c>
      <c r="C793" s="4">
        <v>4</v>
      </c>
      <c r="D793" s="4">
        <v>1</v>
      </c>
      <c r="E793" s="4" t="s">
        <v>28</v>
      </c>
      <c r="F793" s="4" t="s">
        <v>29</v>
      </c>
      <c r="G793" s="4">
        <v>1981</v>
      </c>
      <c r="H793" s="4" t="s">
        <v>33</v>
      </c>
      <c r="I793" s="5">
        <v>2.23</v>
      </c>
      <c r="J793" s="3">
        <v>2614</v>
      </c>
      <c r="K793" s="3">
        <f t="shared" si="64"/>
        <v>1172.1973094170403</v>
      </c>
      <c r="L793" s="3">
        <v>143</v>
      </c>
      <c r="M793" s="5">
        <v>12.27</v>
      </c>
      <c r="N793" s="5">
        <f>SUM(M793)/I793</f>
        <v>5.5022421524663674</v>
      </c>
      <c r="O793" s="5">
        <f>SUM(M793*2000)/J793</f>
        <v>9.3879112471308339</v>
      </c>
      <c r="P793" s="8">
        <v>36826</v>
      </c>
      <c r="Q793" s="6">
        <v>22</v>
      </c>
      <c r="R793" s="5">
        <v>2.81</v>
      </c>
      <c r="S793" s="6">
        <v>13.9</v>
      </c>
      <c r="T793" s="3"/>
    </row>
    <row r="794" spans="1:20" s="4" customFormat="1" ht="15" customHeight="1" x14ac:dyDescent="0.2">
      <c r="A794" s="4">
        <v>2000</v>
      </c>
      <c r="B794" s="4" t="s">
        <v>91</v>
      </c>
      <c r="C794" s="4">
        <v>4</v>
      </c>
      <c r="D794" s="4">
        <v>2</v>
      </c>
      <c r="E794" s="4" t="s">
        <v>28</v>
      </c>
      <c r="F794" s="4" t="s">
        <v>9</v>
      </c>
      <c r="I794" s="5">
        <v>1.01</v>
      </c>
      <c r="J794" s="3">
        <v>711</v>
      </c>
      <c r="K794" s="3">
        <f t="shared" si="64"/>
        <v>703.96039603960401</v>
      </c>
      <c r="L794" s="3">
        <v>180</v>
      </c>
      <c r="M794" s="5">
        <v>2.7635000000000001</v>
      </c>
      <c r="N794" s="5">
        <f>SUM(M794/I794)</f>
        <v>2.7361386138613861</v>
      </c>
      <c r="O794" s="5">
        <f>SUM(M794*2000)/(J794)</f>
        <v>7.7735583684950775</v>
      </c>
      <c r="P794" s="8">
        <v>37557</v>
      </c>
      <c r="Q794" s="6">
        <v>20.3</v>
      </c>
      <c r="R794" s="5">
        <v>2.77</v>
      </c>
      <c r="S794" s="6">
        <v>15.4</v>
      </c>
      <c r="T794" s="3"/>
    </row>
    <row r="795" spans="1:20" s="4" customFormat="1" ht="15" customHeight="1" x14ac:dyDescent="0.2">
      <c r="A795" s="4">
        <v>2001</v>
      </c>
      <c r="B795" s="4" t="s">
        <v>91</v>
      </c>
      <c r="C795" s="4">
        <v>1</v>
      </c>
      <c r="D795" s="4">
        <v>4</v>
      </c>
      <c r="E795" s="4" t="s">
        <v>28</v>
      </c>
      <c r="F795" s="4" t="s">
        <v>29</v>
      </c>
      <c r="G795" s="4">
        <v>1982</v>
      </c>
      <c r="H795" s="4" t="s">
        <v>24</v>
      </c>
      <c r="I795" s="5">
        <v>5.13</v>
      </c>
      <c r="J795" s="3">
        <v>5536</v>
      </c>
      <c r="K795" s="3">
        <f t="shared" si="64"/>
        <v>1079.1423001949317</v>
      </c>
      <c r="L795" s="3">
        <v>195</v>
      </c>
      <c r="M795" s="5">
        <v>12.36</v>
      </c>
      <c r="N795" s="5">
        <f>SUM(M795/I795)</f>
        <v>2.4093567251461989</v>
      </c>
      <c r="O795" s="5">
        <f>SUM(M795*2000)/J795</f>
        <v>4.4653179190751446</v>
      </c>
      <c r="P795" s="8">
        <v>37549</v>
      </c>
      <c r="Q795" s="6">
        <v>21.8</v>
      </c>
      <c r="R795" s="5">
        <v>2.68</v>
      </c>
      <c r="S795" s="6">
        <v>12.9</v>
      </c>
      <c r="T795" s="3"/>
    </row>
    <row r="796" spans="1:20" s="4" customFormat="1" ht="15" customHeight="1" x14ac:dyDescent="0.2">
      <c r="A796" s="4">
        <v>2001</v>
      </c>
      <c r="B796" s="4" t="s">
        <v>91</v>
      </c>
      <c r="C796" s="4">
        <v>2</v>
      </c>
      <c r="D796" s="4">
        <v>1</v>
      </c>
      <c r="E796" s="4" t="s">
        <v>28</v>
      </c>
      <c r="F796" s="4" t="s">
        <v>29</v>
      </c>
      <c r="G796" s="4">
        <v>1987</v>
      </c>
      <c r="H796" s="4" t="s">
        <v>24</v>
      </c>
      <c r="I796" s="5">
        <v>2.86</v>
      </c>
      <c r="J796" s="3">
        <v>3078</v>
      </c>
      <c r="K796" s="3">
        <f t="shared" si="64"/>
        <v>1076.2237762237762</v>
      </c>
      <c r="L796" s="3"/>
      <c r="M796" s="5"/>
      <c r="N796" s="5">
        <f>SUM(M796)/I796</f>
        <v>0</v>
      </c>
      <c r="O796" s="5">
        <f>SUM(M796*2000)/J796</f>
        <v>0</v>
      </c>
      <c r="Q796" s="6"/>
      <c r="R796" s="5"/>
      <c r="S796" s="6"/>
      <c r="T796" s="3"/>
    </row>
    <row r="797" spans="1:20" s="4" customFormat="1" ht="15" customHeight="1" x14ac:dyDescent="0.2">
      <c r="A797" s="4">
        <v>2001</v>
      </c>
      <c r="B797" s="4" t="s">
        <v>91</v>
      </c>
      <c r="C797" s="4">
        <v>4</v>
      </c>
      <c r="D797" s="4">
        <v>1</v>
      </c>
      <c r="E797" s="4" t="s">
        <v>28</v>
      </c>
      <c r="F797" s="4" t="s">
        <v>29</v>
      </c>
      <c r="G797" s="4">
        <v>1981</v>
      </c>
      <c r="H797" s="4" t="s">
        <v>33</v>
      </c>
      <c r="I797" s="5">
        <v>2.23</v>
      </c>
      <c r="J797" s="3">
        <v>2614</v>
      </c>
      <c r="K797" s="3">
        <f t="shared" si="64"/>
        <v>1172.1973094170403</v>
      </c>
      <c r="L797" s="3">
        <v>158</v>
      </c>
      <c r="M797" s="5">
        <v>11.53</v>
      </c>
      <c r="N797" s="5">
        <f>SUM(M797)/I797</f>
        <v>5.1704035874439462</v>
      </c>
      <c r="O797" s="5">
        <f>SUM(M797*2000)/J797</f>
        <v>8.8217291507268563</v>
      </c>
      <c r="P797" s="8">
        <v>37186</v>
      </c>
      <c r="Q797" s="6">
        <v>21.6</v>
      </c>
      <c r="R797" s="5">
        <v>2.75</v>
      </c>
      <c r="S797" s="6">
        <v>12.8</v>
      </c>
      <c r="T797" s="3"/>
    </row>
    <row r="798" spans="1:20" s="4" customFormat="1" ht="15" customHeight="1" x14ac:dyDescent="0.2">
      <c r="A798" s="4">
        <v>2001</v>
      </c>
      <c r="B798" s="4" t="s">
        <v>91</v>
      </c>
      <c r="C798" s="4">
        <v>4</v>
      </c>
      <c r="D798" s="4">
        <v>2</v>
      </c>
      <c r="E798" s="4" t="s">
        <v>28</v>
      </c>
      <c r="F798" s="4" t="s">
        <v>9</v>
      </c>
      <c r="I798" s="5">
        <v>1.01</v>
      </c>
      <c r="J798" s="3">
        <v>711</v>
      </c>
      <c r="K798" s="3">
        <f t="shared" si="64"/>
        <v>703.96039603960401</v>
      </c>
      <c r="L798" s="3">
        <v>120</v>
      </c>
      <c r="M798" s="5">
        <v>1.77</v>
      </c>
      <c r="N798" s="5">
        <f>SUM(M798/I798)</f>
        <v>1.7524752475247525</v>
      </c>
      <c r="O798" s="5">
        <f>SUM(M798*2000)/(J798)</f>
        <v>4.9789029535864975</v>
      </c>
      <c r="P798" s="8">
        <v>37186</v>
      </c>
      <c r="Q798" s="6">
        <v>21.5</v>
      </c>
      <c r="R798" s="5">
        <v>3.05</v>
      </c>
      <c r="S798" s="6">
        <v>10.199999999999999</v>
      </c>
      <c r="T798" s="3"/>
    </row>
    <row r="799" spans="1:20" s="4" customFormat="1" ht="15" customHeight="1" x14ac:dyDescent="0.2">
      <c r="A799" s="4">
        <v>2002</v>
      </c>
      <c r="B799" s="4" t="s">
        <v>91</v>
      </c>
      <c r="C799" s="4">
        <v>1</v>
      </c>
      <c r="D799" s="4">
        <v>4</v>
      </c>
      <c r="E799" s="4" t="s">
        <v>28</v>
      </c>
      <c r="F799" s="4" t="s">
        <v>29</v>
      </c>
      <c r="G799" s="4">
        <v>1982</v>
      </c>
      <c r="H799" s="4" t="s">
        <v>24</v>
      </c>
      <c r="I799" s="5">
        <v>5.13</v>
      </c>
      <c r="J799" s="3">
        <v>5536</v>
      </c>
      <c r="K799" s="3">
        <f t="shared" si="64"/>
        <v>1079.1423001949317</v>
      </c>
      <c r="L799" s="3">
        <v>173</v>
      </c>
      <c r="M799" s="5">
        <v>11.34</v>
      </c>
      <c r="N799" s="5">
        <f>SUM(M799/I799)</f>
        <v>2.2105263157894739</v>
      </c>
      <c r="O799" s="5">
        <f>SUM(M799*2000)/J799</f>
        <v>4.0968208092485545</v>
      </c>
      <c r="P799" s="8">
        <v>37917</v>
      </c>
      <c r="Q799" s="6">
        <v>23</v>
      </c>
      <c r="R799" s="5">
        <v>3.08</v>
      </c>
      <c r="S799" s="6">
        <v>9.8000000000000007</v>
      </c>
      <c r="T799" s="3"/>
    </row>
    <row r="800" spans="1:20" s="4" customFormat="1" ht="15" customHeight="1" x14ac:dyDescent="0.2">
      <c r="A800" s="4">
        <v>2002</v>
      </c>
      <c r="B800" s="4" t="s">
        <v>91</v>
      </c>
      <c r="C800" s="4">
        <v>2</v>
      </c>
      <c r="D800" s="4">
        <v>1</v>
      </c>
      <c r="E800" s="4" t="s">
        <v>28</v>
      </c>
      <c r="F800" s="4" t="s">
        <v>29</v>
      </c>
      <c r="G800" s="4">
        <v>1987</v>
      </c>
      <c r="H800" s="4" t="s">
        <v>24</v>
      </c>
      <c r="I800" s="5">
        <v>2.86</v>
      </c>
      <c r="J800" s="3">
        <v>3078</v>
      </c>
      <c r="K800" s="3">
        <f t="shared" si="64"/>
        <v>1076.2237762237762</v>
      </c>
      <c r="L800" s="3">
        <v>156</v>
      </c>
      <c r="M800" s="5">
        <v>12.63</v>
      </c>
      <c r="N800" s="5">
        <f>SUM(M800)/I800</f>
        <v>4.4160839160839167</v>
      </c>
      <c r="O800" s="5">
        <f>SUM(M800*2000)/J800</f>
        <v>8.2066276803118914</v>
      </c>
      <c r="P800" s="8">
        <v>37916</v>
      </c>
      <c r="Q800" s="6">
        <v>22.8</v>
      </c>
      <c r="R800" s="5">
        <v>2.91</v>
      </c>
      <c r="S800" s="6">
        <v>12</v>
      </c>
      <c r="T800" s="3"/>
    </row>
    <row r="801" spans="1:20" s="4" customFormat="1" ht="15" customHeight="1" x14ac:dyDescent="0.2">
      <c r="A801" s="4">
        <v>2002</v>
      </c>
      <c r="B801" s="4" t="s">
        <v>91</v>
      </c>
      <c r="C801" s="4">
        <v>4</v>
      </c>
      <c r="D801" s="4">
        <v>1</v>
      </c>
      <c r="E801" s="4" t="s">
        <v>28</v>
      </c>
      <c r="F801" s="4" t="s">
        <v>29</v>
      </c>
      <c r="G801" s="4">
        <v>1981</v>
      </c>
      <c r="H801" s="4" t="s">
        <v>33</v>
      </c>
      <c r="I801" s="5">
        <v>2.23</v>
      </c>
      <c r="J801" s="3">
        <v>2614</v>
      </c>
      <c r="K801" s="3">
        <f t="shared" si="64"/>
        <v>1172.1973094170403</v>
      </c>
      <c r="L801" s="3" t="s">
        <v>15</v>
      </c>
      <c r="M801" s="5">
        <v>9.59</v>
      </c>
      <c r="N801" s="5">
        <f>SUM(M801)/I801</f>
        <v>4.3004484304932733</v>
      </c>
      <c r="O801" s="5">
        <f>SUM(M801*2000)/J801</f>
        <v>7.3374139250191277</v>
      </c>
      <c r="P801" s="8">
        <v>37915</v>
      </c>
      <c r="Q801" s="6">
        <v>24</v>
      </c>
      <c r="R801" s="5">
        <v>2.94</v>
      </c>
      <c r="S801" s="6">
        <v>10.6</v>
      </c>
      <c r="T801" s="3"/>
    </row>
    <row r="802" spans="1:20" s="4" customFormat="1" ht="15" customHeight="1" x14ac:dyDescent="0.2">
      <c r="A802" s="4">
        <v>2002</v>
      </c>
      <c r="B802" s="4" t="s">
        <v>91</v>
      </c>
      <c r="C802" s="4">
        <v>4</v>
      </c>
      <c r="D802" s="4">
        <v>2</v>
      </c>
      <c r="E802" s="4" t="s">
        <v>28</v>
      </c>
      <c r="F802" s="4" t="s">
        <v>9</v>
      </c>
      <c r="I802" s="5">
        <v>1.01</v>
      </c>
      <c r="J802" s="3">
        <v>711</v>
      </c>
      <c r="K802" s="3">
        <f t="shared" si="64"/>
        <v>703.96039603960401</v>
      </c>
      <c r="L802" s="3">
        <v>175</v>
      </c>
      <c r="M802" s="5">
        <v>2.97</v>
      </c>
      <c r="N802" s="5">
        <f>SUM(M802/I802)</f>
        <v>2.9405940594059405</v>
      </c>
      <c r="O802" s="5">
        <f>SUM(M802*2000)/(J802)</f>
        <v>8.3544303797468356</v>
      </c>
      <c r="P802" s="8">
        <v>37916</v>
      </c>
      <c r="Q802" s="6">
        <v>23</v>
      </c>
      <c r="R802" s="5">
        <v>3.08</v>
      </c>
      <c r="S802" s="6">
        <v>9.3000000000000007</v>
      </c>
      <c r="T802" s="3"/>
    </row>
    <row r="803" spans="1:20" s="4" customFormat="1" ht="15" customHeight="1" x14ac:dyDescent="0.2">
      <c r="A803" s="4">
        <v>2003</v>
      </c>
      <c r="B803" s="4" t="s">
        <v>91</v>
      </c>
      <c r="C803" s="4">
        <v>1</v>
      </c>
      <c r="D803" s="4">
        <v>4</v>
      </c>
      <c r="E803" s="4" t="s">
        <v>28</v>
      </c>
      <c r="F803" s="4" t="s">
        <v>29</v>
      </c>
      <c r="G803" s="4">
        <v>1982</v>
      </c>
      <c r="H803" s="4" t="s">
        <v>24</v>
      </c>
      <c r="I803" s="5">
        <v>5.13</v>
      </c>
      <c r="J803" s="3">
        <v>5536</v>
      </c>
      <c r="K803" s="3">
        <f t="shared" si="64"/>
        <v>1079.1423001949317</v>
      </c>
      <c r="L803" s="3">
        <v>170</v>
      </c>
      <c r="M803" s="5">
        <v>24.3</v>
      </c>
      <c r="N803" s="5">
        <f>SUM(M803/I803)</f>
        <v>4.7368421052631584</v>
      </c>
      <c r="O803" s="5">
        <f>SUM(M803*2000)/J803</f>
        <v>8.7789017341040463</v>
      </c>
      <c r="P803" s="8">
        <v>37926</v>
      </c>
      <c r="Q803" s="6">
        <v>23.2</v>
      </c>
      <c r="R803" s="5">
        <v>3.24</v>
      </c>
      <c r="S803" s="6">
        <v>7.05</v>
      </c>
      <c r="T803" s="3"/>
    </row>
    <row r="804" spans="1:20" s="4" customFormat="1" ht="15" customHeight="1" x14ac:dyDescent="0.2">
      <c r="A804" s="4">
        <v>2003</v>
      </c>
      <c r="B804" s="4" t="s">
        <v>91</v>
      </c>
      <c r="C804" s="4">
        <v>2</v>
      </c>
      <c r="D804" s="4">
        <v>1</v>
      </c>
      <c r="E804" s="4" t="s">
        <v>28</v>
      </c>
      <c r="F804" s="4" t="s">
        <v>29</v>
      </c>
      <c r="G804" s="4">
        <v>1987</v>
      </c>
      <c r="H804" s="4" t="s">
        <v>24</v>
      </c>
      <c r="I804" s="5">
        <v>2.86</v>
      </c>
      <c r="J804" s="3">
        <v>3078</v>
      </c>
      <c r="K804" s="3">
        <f t="shared" si="64"/>
        <v>1076.2237762237762</v>
      </c>
      <c r="L804" s="3">
        <v>170</v>
      </c>
      <c r="M804" s="5">
        <v>9.6</v>
      </c>
      <c r="N804" s="5">
        <f>SUM(M804)/I804</f>
        <v>3.3566433566433567</v>
      </c>
      <c r="O804" s="5">
        <f>SUM(M804*2000)/J804</f>
        <v>6.2378167641325533</v>
      </c>
      <c r="P804" s="8">
        <v>37925</v>
      </c>
      <c r="Q804" s="6">
        <v>22</v>
      </c>
      <c r="R804" s="5">
        <v>3.11</v>
      </c>
      <c r="S804" s="6">
        <v>8.4</v>
      </c>
      <c r="T804" s="3"/>
    </row>
    <row r="805" spans="1:20" s="4" customFormat="1" ht="15" customHeight="1" x14ac:dyDescent="0.2">
      <c r="A805" s="4">
        <v>2003</v>
      </c>
      <c r="B805" s="4" t="s">
        <v>91</v>
      </c>
      <c r="C805" s="4">
        <v>4</v>
      </c>
      <c r="D805" s="4">
        <v>1</v>
      </c>
      <c r="E805" s="4" t="s">
        <v>28</v>
      </c>
      <c r="F805" s="4" t="s">
        <v>29</v>
      </c>
      <c r="G805" s="4">
        <v>1981</v>
      </c>
      <c r="H805" s="4" t="s">
        <v>33</v>
      </c>
      <c r="I805" s="5">
        <v>2.23</v>
      </c>
      <c r="J805" s="3">
        <v>2614</v>
      </c>
      <c r="K805" s="3">
        <f t="shared" si="64"/>
        <v>1172.1973094170403</v>
      </c>
      <c r="L805" s="3">
        <v>165</v>
      </c>
      <c r="M805" s="5">
        <v>2</v>
      </c>
      <c r="N805" s="5">
        <f>SUM(M805)/I805</f>
        <v>0.89686098654708524</v>
      </c>
      <c r="O805" s="5">
        <f>SUM(M805*2000)/J805</f>
        <v>1.530221882172915</v>
      </c>
      <c r="P805" s="8">
        <v>37924</v>
      </c>
      <c r="Q805" s="6">
        <v>22</v>
      </c>
      <c r="R805" s="5">
        <v>3.02</v>
      </c>
      <c r="S805" s="6">
        <v>9.4499999999999993</v>
      </c>
      <c r="T805" s="3"/>
    </row>
    <row r="806" spans="1:20" s="4" customFormat="1" ht="15" customHeight="1" x14ac:dyDescent="0.2">
      <c r="A806" s="4">
        <v>2003</v>
      </c>
      <c r="B806" s="4" t="s">
        <v>91</v>
      </c>
      <c r="C806" s="4">
        <v>4</v>
      </c>
      <c r="D806" s="4">
        <v>2</v>
      </c>
      <c r="E806" s="4" t="s">
        <v>28</v>
      </c>
      <c r="F806" s="4" t="s">
        <v>9</v>
      </c>
      <c r="I806" s="5">
        <v>1.01</v>
      </c>
      <c r="J806" s="3">
        <v>711</v>
      </c>
      <c r="K806" s="3">
        <f t="shared" si="64"/>
        <v>703.96039603960401</v>
      </c>
      <c r="L806" s="3"/>
      <c r="M806" s="5"/>
      <c r="N806" s="5"/>
      <c r="O806" s="5"/>
      <c r="P806" s="8"/>
      <c r="Q806" s="6"/>
      <c r="R806" s="5"/>
      <c r="S806" s="6"/>
      <c r="T806" s="3"/>
    </row>
    <row r="807" spans="1:20" s="4" customFormat="1" ht="15" customHeight="1" x14ac:dyDescent="0.2">
      <c r="A807" s="4">
        <v>2004</v>
      </c>
      <c r="B807" s="4" t="s">
        <v>91</v>
      </c>
      <c r="C807" s="4">
        <v>1</v>
      </c>
      <c r="D807" s="4">
        <v>4</v>
      </c>
      <c r="E807" s="4" t="s">
        <v>28</v>
      </c>
      <c r="F807" s="4" t="s">
        <v>29</v>
      </c>
      <c r="G807" s="4">
        <v>1982</v>
      </c>
      <c r="H807" s="4" t="s">
        <v>24</v>
      </c>
      <c r="I807" s="5">
        <v>5.13</v>
      </c>
      <c r="J807" s="3">
        <v>5536</v>
      </c>
      <c r="K807" s="3">
        <v>1079</v>
      </c>
      <c r="L807" s="3">
        <v>155</v>
      </c>
      <c r="M807" s="5">
        <v>33</v>
      </c>
      <c r="N807" s="5">
        <f>SUM(M807/I807)</f>
        <v>6.4327485380116958</v>
      </c>
      <c r="O807" s="5">
        <f>SUM(M807*2000)/J807</f>
        <v>11.921965317919074</v>
      </c>
      <c r="P807" s="8">
        <v>38292</v>
      </c>
      <c r="Q807" s="6">
        <v>22.2</v>
      </c>
      <c r="R807" s="5">
        <v>3.08</v>
      </c>
      <c r="S807" s="6">
        <v>9.1999999999999993</v>
      </c>
      <c r="T807" s="3"/>
    </row>
    <row r="808" spans="1:20" s="4" customFormat="1" ht="15" customHeight="1" x14ac:dyDescent="0.2">
      <c r="A808" s="4">
        <v>2004</v>
      </c>
      <c r="B808" s="4" t="s">
        <v>91</v>
      </c>
      <c r="C808" s="4">
        <v>2</v>
      </c>
      <c r="D808" s="4">
        <v>1</v>
      </c>
      <c r="E808" s="4" t="s">
        <v>28</v>
      </c>
      <c r="F808" s="4" t="s">
        <v>29</v>
      </c>
      <c r="G808" s="4">
        <v>1987</v>
      </c>
      <c r="H808" s="4" t="s">
        <v>24</v>
      </c>
      <c r="I808" s="5">
        <v>2.86</v>
      </c>
      <c r="J808" s="3">
        <v>3078</v>
      </c>
      <c r="K808" s="3">
        <v>1076</v>
      </c>
      <c r="L808" s="3">
        <v>203</v>
      </c>
      <c r="M808" s="5">
        <v>11.5</v>
      </c>
      <c r="N808" s="5">
        <f>SUM(M808)/I808</f>
        <v>4.0209790209790208</v>
      </c>
      <c r="O808" s="5">
        <f>SUM(M808*2000)/J808</f>
        <v>7.4723846653671213</v>
      </c>
      <c r="P808" s="8">
        <v>38290</v>
      </c>
      <c r="Q808" s="6">
        <v>21.6</v>
      </c>
      <c r="R808" s="5">
        <v>3.01</v>
      </c>
      <c r="S808" s="6">
        <v>9.9</v>
      </c>
      <c r="T808" s="3"/>
    </row>
    <row r="809" spans="1:20" s="4" customFormat="1" ht="15" customHeight="1" x14ac:dyDescent="0.2">
      <c r="A809" s="4">
        <v>2004</v>
      </c>
      <c r="B809" s="4" t="s">
        <v>91</v>
      </c>
      <c r="C809" s="4">
        <v>4</v>
      </c>
      <c r="D809" s="4">
        <v>1</v>
      </c>
      <c r="E809" s="4" t="s">
        <v>28</v>
      </c>
      <c r="F809" s="4" t="s">
        <v>29</v>
      </c>
      <c r="G809" s="4">
        <v>1981</v>
      </c>
      <c r="H809" s="4" t="s">
        <v>33</v>
      </c>
      <c r="I809" s="5">
        <v>2.23</v>
      </c>
      <c r="J809" s="3">
        <v>2614</v>
      </c>
      <c r="K809" s="3">
        <v>1172</v>
      </c>
      <c r="L809" s="3">
        <v>210</v>
      </c>
      <c r="M809" s="5">
        <v>9.3000000000000007</v>
      </c>
      <c r="N809" s="5">
        <f>SUM(M809)/I809</f>
        <v>4.1704035874439462</v>
      </c>
      <c r="O809" s="5">
        <f>SUM(M809*2000)/J809</f>
        <v>7.1155317521040553</v>
      </c>
      <c r="P809" s="8">
        <v>38295</v>
      </c>
      <c r="Q809" s="6">
        <v>22.3</v>
      </c>
      <c r="R809" s="5">
        <v>3.12</v>
      </c>
      <c r="S809" s="6">
        <v>8.9</v>
      </c>
      <c r="T809" s="3"/>
    </row>
    <row r="810" spans="1:20" s="4" customFormat="1" ht="15" customHeight="1" x14ac:dyDescent="0.2">
      <c r="A810" s="4">
        <v>2004</v>
      </c>
      <c r="B810" s="4" t="s">
        <v>91</v>
      </c>
      <c r="C810" s="4">
        <v>4</v>
      </c>
      <c r="D810" s="4">
        <v>2</v>
      </c>
      <c r="E810" s="4" t="s">
        <v>28</v>
      </c>
      <c r="F810" s="4" t="s">
        <v>9</v>
      </c>
      <c r="I810" s="5">
        <v>1.01</v>
      </c>
      <c r="J810" s="3">
        <v>711</v>
      </c>
      <c r="K810" s="3">
        <v>704</v>
      </c>
      <c r="L810" s="3">
        <v>175</v>
      </c>
      <c r="M810" s="5">
        <v>3.6</v>
      </c>
      <c r="N810" s="5">
        <f>SUM(M810/I810)</f>
        <v>3.5643564356435644</v>
      </c>
      <c r="O810" s="5">
        <f>SUM(M810*2000)/(J810)</f>
        <v>10.126582278481013</v>
      </c>
      <c r="P810" s="8">
        <v>38295</v>
      </c>
      <c r="Q810" s="6">
        <v>22.3</v>
      </c>
      <c r="R810" s="5">
        <v>3.12</v>
      </c>
      <c r="S810" s="6">
        <v>8.9</v>
      </c>
      <c r="T810" s="3"/>
    </row>
    <row r="811" spans="1:20" s="4" customFormat="1" ht="15" customHeight="1" x14ac:dyDescent="0.2">
      <c r="A811" s="4">
        <v>2005</v>
      </c>
      <c r="B811" s="4" t="s">
        <v>91</v>
      </c>
      <c r="C811" s="4">
        <v>1</v>
      </c>
      <c r="D811" s="4">
        <v>4</v>
      </c>
      <c r="E811" s="4" t="s">
        <v>28</v>
      </c>
      <c r="F811" s="4" t="s">
        <v>29</v>
      </c>
      <c r="G811" s="4">
        <v>1982</v>
      </c>
      <c r="H811" s="4" t="s">
        <v>24</v>
      </c>
      <c r="I811" s="5">
        <v>5.13</v>
      </c>
      <c r="J811" s="3">
        <v>5536</v>
      </c>
      <c r="K811" s="3">
        <v>1079</v>
      </c>
      <c r="L811" s="3">
        <v>167</v>
      </c>
      <c r="M811" s="5">
        <v>26.5</v>
      </c>
      <c r="N811" s="5">
        <f>SUM(M811/I811)</f>
        <v>5.1656920077972712</v>
      </c>
      <c r="O811" s="5">
        <f t="shared" ref="O811:O851" si="65">SUM(M811*2000)/J811</f>
        <v>9.5736994219653173</v>
      </c>
      <c r="P811" s="8">
        <v>38653</v>
      </c>
      <c r="Q811" s="6">
        <v>32</v>
      </c>
      <c r="R811" s="5">
        <v>3.23</v>
      </c>
      <c r="S811" s="6">
        <v>8.1</v>
      </c>
      <c r="T811" s="3"/>
    </row>
    <row r="812" spans="1:20" s="4" customFormat="1" ht="15" customHeight="1" x14ac:dyDescent="0.2">
      <c r="A812" s="4">
        <v>2005</v>
      </c>
      <c r="B812" s="4" t="s">
        <v>91</v>
      </c>
      <c r="C812" s="4">
        <v>2</v>
      </c>
      <c r="D812" s="4">
        <v>1</v>
      </c>
      <c r="E812" s="4" t="s">
        <v>28</v>
      </c>
      <c r="F812" s="4" t="s">
        <v>29</v>
      </c>
      <c r="G812" s="4">
        <v>1987</v>
      </c>
      <c r="H812" s="4" t="s">
        <v>24</v>
      </c>
      <c r="I812" s="5">
        <v>2.86</v>
      </c>
      <c r="J812" s="3">
        <v>3078</v>
      </c>
      <c r="K812" s="3">
        <v>1076</v>
      </c>
      <c r="L812" s="3">
        <v>178</v>
      </c>
      <c r="M812" s="5">
        <v>12.5</v>
      </c>
      <c r="N812" s="5">
        <f>SUM(M812)/I812</f>
        <v>4.3706293706293708</v>
      </c>
      <c r="O812" s="5">
        <f t="shared" si="65"/>
        <v>8.1221572449642618</v>
      </c>
      <c r="P812" s="8">
        <v>38653</v>
      </c>
      <c r="Q812" s="6">
        <v>21</v>
      </c>
      <c r="R812" s="5">
        <v>2.93</v>
      </c>
      <c r="S812" s="6">
        <v>10.5</v>
      </c>
      <c r="T812" s="3"/>
    </row>
    <row r="813" spans="1:20" s="4" customFormat="1" ht="15" customHeight="1" x14ac:dyDescent="0.2">
      <c r="A813" s="4">
        <v>2005</v>
      </c>
      <c r="B813" s="4" t="s">
        <v>91</v>
      </c>
      <c r="C813" s="4">
        <v>4</v>
      </c>
      <c r="D813" s="4">
        <v>1</v>
      </c>
      <c r="E813" s="4" t="s">
        <v>28</v>
      </c>
      <c r="F813" s="4" t="s">
        <v>29</v>
      </c>
      <c r="G813" s="4">
        <v>1981</v>
      </c>
      <c r="H813" s="4" t="s">
        <v>33</v>
      </c>
      <c r="I813" s="5">
        <v>2.23</v>
      </c>
      <c r="J813" s="3">
        <v>2614</v>
      </c>
      <c r="K813" s="3">
        <v>1172</v>
      </c>
      <c r="L813" s="3">
        <v>208</v>
      </c>
      <c r="M813" s="5">
        <v>6.3</v>
      </c>
      <c r="N813" s="5">
        <f>SUM(M813)/I813</f>
        <v>2.8251121076233185</v>
      </c>
      <c r="O813" s="5">
        <f t="shared" si="65"/>
        <v>4.8201989288446825</v>
      </c>
      <c r="P813" s="8">
        <v>39021</v>
      </c>
      <c r="Q813" s="6">
        <v>24</v>
      </c>
      <c r="R813" s="5">
        <v>2.99</v>
      </c>
      <c r="S813" s="6">
        <v>11.1</v>
      </c>
      <c r="T813" s="3"/>
    </row>
    <row r="814" spans="1:20" s="4" customFormat="1" ht="15" customHeight="1" x14ac:dyDescent="0.2">
      <c r="A814" s="4">
        <v>2006</v>
      </c>
      <c r="B814" s="4" t="s">
        <v>91</v>
      </c>
      <c r="C814" s="4">
        <v>1</v>
      </c>
      <c r="D814" s="4">
        <v>4</v>
      </c>
      <c r="E814" s="4" t="s">
        <v>28</v>
      </c>
      <c r="F814" s="4" t="s">
        <v>29</v>
      </c>
      <c r="G814" s="4">
        <v>1982</v>
      </c>
      <c r="H814" s="4" t="s">
        <v>24</v>
      </c>
      <c r="I814" s="5">
        <v>5.13</v>
      </c>
      <c r="J814" s="3">
        <v>5536</v>
      </c>
      <c r="K814" s="3">
        <v>1079</v>
      </c>
      <c r="L814" s="3"/>
      <c r="M814" s="5">
        <v>37.700000000000003</v>
      </c>
      <c r="N814" s="5">
        <f>SUM(M814/I814)</f>
        <v>7.3489278752436658</v>
      </c>
      <c r="O814" s="5">
        <f t="shared" si="65"/>
        <v>13.619942196531792</v>
      </c>
      <c r="P814" s="8">
        <v>39023</v>
      </c>
      <c r="Q814" s="6">
        <v>21.4</v>
      </c>
      <c r="R814" s="5">
        <v>3.28</v>
      </c>
      <c r="S814" s="6">
        <v>8</v>
      </c>
      <c r="T814" s="3"/>
    </row>
    <row r="815" spans="1:20" s="4" customFormat="1" ht="15" customHeight="1" x14ac:dyDescent="0.2">
      <c r="A815" s="4">
        <v>2006</v>
      </c>
      <c r="B815" s="4" t="s">
        <v>91</v>
      </c>
      <c r="C815" s="4">
        <v>2</v>
      </c>
      <c r="D815" s="4">
        <v>1</v>
      </c>
      <c r="E815" s="4" t="s">
        <v>28</v>
      </c>
      <c r="F815" s="4" t="s">
        <v>29</v>
      </c>
      <c r="G815" s="4">
        <v>1987</v>
      </c>
      <c r="H815" s="4" t="s">
        <v>24</v>
      </c>
      <c r="I815" s="5">
        <v>2.86</v>
      </c>
      <c r="J815" s="3">
        <v>3078</v>
      </c>
      <c r="K815" s="3">
        <v>1076</v>
      </c>
      <c r="L815" s="3"/>
      <c r="M815" s="5">
        <v>14</v>
      </c>
      <c r="N815" s="5">
        <f>SUM(M815)/I815</f>
        <v>4.895104895104895</v>
      </c>
      <c r="O815" s="5">
        <f t="shared" si="65"/>
        <v>9.0968161143599744</v>
      </c>
      <c r="P815" s="8">
        <v>39021</v>
      </c>
      <c r="Q815" s="6">
        <v>21</v>
      </c>
      <c r="R815" s="5">
        <v>3.15</v>
      </c>
      <c r="S815" s="6">
        <v>8.9</v>
      </c>
      <c r="T815" s="3"/>
    </row>
    <row r="816" spans="1:20" s="4" customFormat="1" ht="15" customHeight="1" x14ac:dyDescent="0.2">
      <c r="A816" s="4">
        <v>2006</v>
      </c>
      <c r="B816" s="4" t="s">
        <v>91</v>
      </c>
      <c r="C816" s="4">
        <v>4</v>
      </c>
      <c r="D816" s="4">
        <v>1</v>
      </c>
      <c r="E816" s="4" t="s">
        <v>28</v>
      </c>
      <c r="F816" s="4" t="s">
        <v>29</v>
      </c>
      <c r="G816" s="4">
        <v>1981</v>
      </c>
      <c r="H816" s="4" t="s">
        <v>33</v>
      </c>
      <c r="I816" s="5">
        <v>2.23</v>
      </c>
      <c r="J816" s="3">
        <v>2614</v>
      </c>
      <c r="K816" s="3">
        <v>1172</v>
      </c>
      <c r="L816" s="3"/>
      <c r="M816" s="5">
        <v>18</v>
      </c>
      <c r="N816" s="5">
        <f>SUM(M816)/I816</f>
        <v>8.071748878923767</v>
      </c>
      <c r="O816" s="5">
        <f t="shared" si="65"/>
        <v>13.771996939556235</v>
      </c>
      <c r="P816" s="8"/>
      <c r="Q816" s="6"/>
      <c r="R816" s="5"/>
      <c r="S816" s="6"/>
      <c r="T816" s="3"/>
    </row>
    <row r="817" spans="1:20" s="4" customFormat="1" ht="15" customHeight="1" x14ac:dyDescent="0.2">
      <c r="A817" s="4">
        <v>2007</v>
      </c>
      <c r="B817" s="4" t="s">
        <v>91</v>
      </c>
      <c r="C817" s="4">
        <v>1</v>
      </c>
      <c r="D817" s="4">
        <v>4</v>
      </c>
      <c r="E817" s="4" t="s">
        <v>28</v>
      </c>
      <c r="F817" s="4" t="s">
        <v>29</v>
      </c>
      <c r="G817" s="4">
        <v>1982</v>
      </c>
      <c r="H817" s="4" t="s">
        <v>24</v>
      </c>
      <c r="I817" s="5">
        <v>5.13</v>
      </c>
      <c r="J817" s="3">
        <v>5536</v>
      </c>
      <c r="K817" s="3">
        <v>1079</v>
      </c>
      <c r="L817" s="3">
        <v>196</v>
      </c>
      <c r="M817" s="5">
        <v>30.85</v>
      </c>
      <c r="N817" s="5">
        <f>SUM(M817/I817)</f>
        <v>6.0136452241715403</v>
      </c>
      <c r="O817" s="5">
        <f t="shared" si="65"/>
        <v>11.145231213872833</v>
      </c>
      <c r="P817" s="8">
        <v>39391</v>
      </c>
      <c r="Q817" s="6">
        <v>22.4</v>
      </c>
      <c r="R817" s="5">
        <v>3.09</v>
      </c>
      <c r="S817" s="6">
        <v>11.3</v>
      </c>
      <c r="T817" s="3"/>
    </row>
    <row r="818" spans="1:20" s="4" customFormat="1" ht="15" customHeight="1" x14ac:dyDescent="0.2">
      <c r="A818" s="4">
        <v>2007</v>
      </c>
      <c r="B818" s="4" t="s">
        <v>91</v>
      </c>
      <c r="C818" s="4">
        <v>2</v>
      </c>
      <c r="D818" s="4">
        <v>1</v>
      </c>
      <c r="E818" s="4" t="s">
        <v>28</v>
      </c>
      <c r="F818" s="4" t="s">
        <v>29</v>
      </c>
      <c r="G818" s="4">
        <v>1987</v>
      </c>
      <c r="H818" s="4" t="s">
        <v>24</v>
      </c>
      <c r="I818" s="5">
        <v>2.86</v>
      </c>
      <c r="J818" s="3">
        <v>3078</v>
      </c>
      <c r="K818" s="3">
        <v>1076</v>
      </c>
      <c r="L818" s="3">
        <v>165</v>
      </c>
      <c r="M818" s="5">
        <v>11.9</v>
      </c>
      <c r="N818" s="5">
        <f>SUM(M818)/I818</f>
        <v>4.1608391608391608</v>
      </c>
      <c r="O818" s="5">
        <f t="shared" si="65"/>
        <v>7.7322936972059777</v>
      </c>
      <c r="P818" s="8">
        <v>39385</v>
      </c>
      <c r="Q818" s="6">
        <v>21.8</v>
      </c>
      <c r="R818" s="5">
        <v>3</v>
      </c>
      <c r="S818" s="6">
        <v>10.4</v>
      </c>
      <c r="T818" s="3"/>
    </row>
    <row r="819" spans="1:20" s="4" customFormat="1" ht="15" customHeight="1" x14ac:dyDescent="0.2">
      <c r="A819" s="4">
        <v>2007</v>
      </c>
      <c r="B819" s="4" t="s">
        <v>91</v>
      </c>
      <c r="C819" s="4">
        <v>4</v>
      </c>
      <c r="D819" s="4">
        <v>1</v>
      </c>
      <c r="E819" s="4" t="s">
        <v>28</v>
      </c>
      <c r="F819" s="4" t="s">
        <v>29</v>
      </c>
      <c r="G819" s="4">
        <v>1981</v>
      </c>
      <c r="H819" s="4" t="s">
        <v>33</v>
      </c>
      <c r="I819" s="5">
        <v>2.23</v>
      </c>
      <c r="J819" s="3">
        <v>2614</v>
      </c>
      <c r="K819" s="3">
        <v>1172</v>
      </c>
      <c r="L819" s="3">
        <v>150</v>
      </c>
      <c r="M819" s="5">
        <v>3.7</v>
      </c>
      <c r="N819" s="5">
        <f>SUM(M819)/I819</f>
        <v>1.6591928251121077</v>
      </c>
      <c r="O819" s="5">
        <f t="shared" si="65"/>
        <v>2.8309104820198927</v>
      </c>
      <c r="P819" s="8">
        <v>39392</v>
      </c>
      <c r="Q819" s="6">
        <v>24.8</v>
      </c>
      <c r="R819" s="5">
        <v>3.1</v>
      </c>
      <c r="S819" s="6">
        <v>11.2</v>
      </c>
      <c r="T819" s="3"/>
    </row>
    <row r="820" spans="1:20" s="4" customFormat="1" ht="15" customHeight="1" x14ac:dyDescent="0.2">
      <c r="A820" s="4">
        <v>2008</v>
      </c>
      <c r="B820" s="4" t="s">
        <v>91</v>
      </c>
      <c r="C820" s="4">
        <v>1</v>
      </c>
      <c r="D820" s="4">
        <v>4</v>
      </c>
      <c r="E820" s="4" t="s">
        <v>28</v>
      </c>
      <c r="F820" s="4" t="s">
        <v>29</v>
      </c>
      <c r="G820" s="4">
        <v>1982</v>
      </c>
      <c r="H820" s="4" t="s">
        <v>24</v>
      </c>
      <c r="I820" s="5">
        <v>5.13</v>
      </c>
      <c r="J820" s="3">
        <v>5536</v>
      </c>
      <c r="K820" s="3">
        <v>1079</v>
      </c>
      <c r="L820" s="3">
        <v>145</v>
      </c>
      <c r="M820" s="5">
        <v>32.4</v>
      </c>
      <c r="N820" s="5">
        <f>SUM(M820/I820)</f>
        <v>6.3157894736842106</v>
      </c>
      <c r="O820" s="5">
        <f t="shared" si="65"/>
        <v>11.705202312138729</v>
      </c>
      <c r="P820" s="8">
        <v>39755</v>
      </c>
      <c r="Q820" s="6">
        <v>22.2</v>
      </c>
      <c r="R820" s="5">
        <v>3.11</v>
      </c>
      <c r="S820" s="6">
        <v>12.2</v>
      </c>
      <c r="T820" s="3"/>
    </row>
    <row r="821" spans="1:20" s="4" customFormat="1" ht="15" customHeight="1" x14ac:dyDescent="0.2">
      <c r="A821" s="4">
        <v>2008</v>
      </c>
      <c r="B821" s="4" t="s">
        <v>91</v>
      </c>
      <c r="C821" s="4">
        <v>2</v>
      </c>
      <c r="D821" s="4">
        <v>1</v>
      </c>
      <c r="E821" s="4" t="s">
        <v>28</v>
      </c>
      <c r="F821" s="4" t="s">
        <v>29</v>
      </c>
      <c r="G821" s="4">
        <v>1987</v>
      </c>
      <c r="H821" s="4" t="s">
        <v>24</v>
      </c>
      <c r="I821" s="5">
        <v>2.86</v>
      </c>
      <c r="J821" s="3">
        <v>3078</v>
      </c>
      <c r="K821" s="3">
        <v>1076</v>
      </c>
      <c r="L821" s="3">
        <v>145</v>
      </c>
      <c r="M821" s="5">
        <v>5.0999999999999996</v>
      </c>
      <c r="N821" s="5">
        <f>SUM(M821)/I821</f>
        <v>1.7832167832167831</v>
      </c>
      <c r="O821" s="5">
        <f t="shared" si="65"/>
        <v>3.3138401559454191</v>
      </c>
      <c r="P821" s="8">
        <v>39756</v>
      </c>
      <c r="Q821" s="6">
        <v>21.4</v>
      </c>
      <c r="R821" s="5">
        <v>3.1</v>
      </c>
      <c r="S821" s="6">
        <v>12.2</v>
      </c>
      <c r="T821" s="3"/>
    </row>
    <row r="822" spans="1:20" s="4" customFormat="1" ht="15" customHeight="1" x14ac:dyDescent="0.2">
      <c r="A822" s="4">
        <v>2009</v>
      </c>
      <c r="B822" s="4" t="s">
        <v>91</v>
      </c>
      <c r="C822" s="4">
        <v>1</v>
      </c>
      <c r="D822" s="4">
        <v>4</v>
      </c>
      <c r="E822" s="4" t="s">
        <v>28</v>
      </c>
      <c r="F822" s="4" t="s">
        <v>29</v>
      </c>
      <c r="G822" s="4">
        <v>1982</v>
      </c>
      <c r="H822" s="4" t="s">
        <v>24</v>
      </c>
      <c r="I822" s="5">
        <v>5.13</v>
      </c>
      <c r="J822" s="3">
        <v>5536</v>
      </c>
      <c r="K822" s="3">
        <v>1079</v>
      </c>
      <c r="L822" s="3">
        <v>215</v>
      </c>
      <c r="M822" s="5">
        <v>28.5</v>
      </c>
      <c r="N822" s="5">
        <f>SUM(M822/I822)</f>
        <v>5.5555555555555554</v>
      </c>
      <c r="O822" s="5">
        <f t="shared" si="65"/>
        <v>10.296242774566474</v>
      </c>
      <c r="P822" s="8">
        <v>40105</v>
      </c>
      <c r="Q822" s="6">
        <v>23</v>
      </c>
      <c r="R822" s="5">
        <v>3.29</v>
      </c>
      <c r="S822" s="6">
        <v>9.6</v>
      </c>
      <c r="T822" s="3"/>
    </row>
    <row r="823" spans="1:20" s="4" customFormat="1" ht="15" customHeight="1" x14ac:dyDescent="0.2">
      <c r="A823" s="4">
        <v>2009</v>
      </c>
      <c r="B823" s="4" t="s">
        <v>91</v>
      </c>
      <c r="C823" s="4">
        <v>2</v>
      </c>
      <c r="D823" s="4">
        <v>1</v>
      </c>
      <c r="E823" s="4" t="s">
        <v>28</v>
      </c>
      <c r="F823" s="4" t="s">
        <v>29</v>
      </c>
      <c r="G823" s="4">
        <v>1987</v>
      </c>
      <c r="H823" s="4" t="s">
        <v>24</v>
      </c>
      <c r="I823" s="5">
        <v>2.86</v>
      </c>
      <c r="J823" s="3">
        <v>3078</v>
      </c>
      <c r="K823" s="3">
        <v>1076</v>
      </c>
      <c r="L823" s="3">
        <v>170</v>
      </c>
      <c r="M823" s="5">
        <v>10.7</v>
      </c>
      <c r="N823" s="5">
        <f>SUM(M823)/I823</f>
        <v>3.7412587412587412</v>
      </c>
      <c r="O823" s="5">
        <f t="shared" si="65"/>
        <v>6.9525666016894085</v>
      </c>
      <c r="P823" s="8">
        <v>40105</v>
      </c>
      <c r="Q823" s="6">
        <v>22.8</v>
      </c>
      <c r="R823" s="5">
        <v>3.21</v>
      </c>
      <c r="S823" s="6">
        <v>10.3</v>
      </c>
      <c r="T823" s="3"/>
    </row>
    <row r="824" spans="1:20" s="4" customFormat="1" ht="15" customHeight="1" x14ac:dyDescent="0.2">
      <c r="A824" s="4">
        <v>2010</v>
      </c>
      <c r="B824" s="4" t="s">
        <v>91</v>
      </c>
      <c r="C824" s="4">
        <v>1</v>
      </c>
      <c r="D824" s="4">
        <v>4</v>
      </c>
      <c r="E824" s="4" t="s">
        <v>28</v>
      </c>
      <c r="F824" s="4" t="s">
        <v>29</v>
      </c>
      <c r="G824" s="4">
        <v>1982</v>
      </c>
      <c r="H824" s="4" t="s">
        <v>24</v>
      </c>
      <c r="I824" s="5">
        <v>5.13</v>
      </c>
      <c r="J824" s="3">
        <v>5536</v>
      </c>
      <c r="K824" s="3">
        <v>1079</v>
      </c>
      <c r="L824" s="3"/>
      <c r="M824" s="5">
        <v>23.1</v>
      </c>
      <c r="N824" s="5">
        <f t="shared" ref="N824:N846" si="66">SUM(M824/I824)</f>
        <v>4.5029239766081872</v>
      </c>
      <c r="O824" s="5">
        <f t="shared" si="65"/>
        <v>8.345375722543352</v>
      </c>
      <c r="P824" s="8">
        <v>40483</v>
      </c>
      <c r="Q824" s="6">
        <v>22.4</v>
      </c>
      <c r="R824" s="5">
        <v>3.07</v>
      </c>
      <c r="S824" s="6">
        <v>11.3</v>
      </c>
      <c r="T824" s="3"/>
    </row>
    <row r="825" spans="1:20" s="4" customFormat="1" ht="15" customHeight="1" x14ac:dyDescent="0.2">
      <c r="A825" s="4">
        <v>2011</v>
      </c>
      <c r="B825" s="4" t="s">
        <v>91</v>
      </c>
      <c r="C825" s="4">
        <v>1</v>
      </c>
      <c r="D825" s="4">
        <v>4</v>
      </c>
      <c r="E825" s="4" t="s">
        <v>28</v>
      </c>
      <c r="F825" s="4" t="s">
        <v>29</v>
      </c>
      <c r="G825" s="4">
        <v>1982</v>
      </c>
      <c r="H825" s="4" t="s">
        <v>24</v>
      </c>
      <c r="I825" s="5">
        <v>5.13</v>
      </c>
      <c r="J825" s="3">
        <v>5536</v>
      </c>
      <c r="K825" s="3">
        <v>1079</v>
      </c>
      <c r="L825" s="3">
        <v>230</v>
      </c>
      <c r="M825" s="5">
        <v>19.649999999999999</v>
      </c>
      <c r="N825" s="5">
        <f t="shared" si="66"/>
        <v>3.8304093567251458</v>
      </c>
      <c r="O825" s="5">
        <f t="shared" si="65"/>
        <v>7.0989884393063587</v>
      </c>
      <c r="P825" s="8">
        <v>40849</v>
      </c>
      <c r="Q825" s="6">
        <v>20</v>
      </c>
      <c r="R825" s="5">
        <v>3.1</v>
      </c>
      <c r="S825" s="6">
        <v>10.199999999999999</v>
      </c>
      <c r="T825" s="3"/>
    </row>
    <row r="826" spans="1:20" s="4" customFormat="1" ht="15" customHeight="1" x14ac:dyDescent="0.2">
      <c r="A826" s="4">
        <v>2012</v>
      </c>
      <c r="B826" s="4" t="s">
        <v>91</v>
      </c>
      <c r="C826" s="4">
        <v>1</v>
      </c>
      <c r="D826" s="4">
        <v>4</v>
      </c>
      <c r="E826" s="4" t="s">
        <v>28</v>
      </c>
      <c r="F826" s="4" t="s">
        <v>29</v>
      </c>
      <c r="G826" s="4">
        <v>1982</v>
      </c>
      <c r="H826" s="4" t="s">
        <v>24</v>
      </c>
      <c r="I826" s="5">
        <v>5.13</v>
      </c>
      <c r="J826" s="3">
        <v>5536</v>
      </c>
      <c r="K826" s="3">
        <v>1079</v>
      </c>
      <c r="L826" s="3"/>
      <c r="M826" s="5">
        <f>14.15+7.6</f>
        <v>21.75</v>
      </c>
      <c r="N826" s="5">
        <f t="shared" si="66"/>
        <v>4.2397660818713447</v>
      </c>
      <c r="O826" s="5">
        <f t="shared" si="65"/>
        <v>7.8576589595375719</v>
      </c>
      <c r="P826" s="8" t="s">
        <v>30</v>
      </c>
      <c r="Q826" s="6">
        <f>(22+21.2)/2</f>
        <v>21.6</v>
      </c>
      <c r="R826" s="5">
        <f>(3.01+3.06)/2</f>
        <v>3.0350000000000001</v>
      </c>
      <c r="S826" s="6">
        <f>(10.05+10.3)/2</f>
        <v>10.175000000000001</v>
      </c>
      <c r="T826" s="3"/>
    </row>
    <row r="827" spans="1:20" s="4" customFormat="1" ht="15" customHeight="1" x14ac:dyDescent="0.2">
      <c r="A827" s="4">
        <v>2000</v>
      </c>
      <c r="B827" s="4" t="s">
        <v>91</v>
      </c>
      <c r="C827" s="4">
        <v>1</v>
      </c>
      <c r="D827" s="4">
        <v>6</v>
      </c>
      <c r="E827" s="4" t="s">
        <v>99</v>
      </c>
      <c r="F827" s="4">
        <v>530</v>
      </c>
      <c r="G827" s="4">
        <v>1997</v>
      </c>
      <c r="H827" s="4" t="s">
        <v>27</v>
      </c>
      <c r="I827" s="5">
        <v>1.82</v>
      </c>
      <c r="J827" s="3">
        <v>1888</v>
      </c>
      <c r="K827" s="3">
        <f>SUM(J827/I827)</f>
        <v>1037.3626373626373</v>
      </c>
      <c r="L827" s="3">
        <v>120</v>
      </c>
      <c r="M827" s="5">
        <v>3.0139999999999998</v>
      </c>
      <c r="N827" s="5">
        <f t="shared" si="66"/>
        <v>1.6560439560439559</v>
      </c>
      <c r="O827" s="5">
        <f t="shared" si="65"/>
        <v>3.1927966101694913</v>
      </c>
      <c r="P827" s="8">
        <v>36809</v>
      </c>
      <c r="Q827" s="6">
        <v>21.9</v>
      </c>
      <c r="R827" s="5">
        <v>2.85</v>
      </c>
      <c r="S827" s="6">
        <v>15.3</v>
      </c>
      <c r="T827" s="3"/>
    </row>
    <row r="828" spans="1:20" s="4" customFormat="1" ht="15" customHeight="1" x14ac:dyDescent="0.2">
      <c r="A828" s="4">
        <v>2001</v>
      </c>
      <c r="B828" s="4" t="s">
        <v>91</v>
      </c>
      <c r="C828" s="4">
        <v>1</v>
      </c>
      <c r="D828" s="4">
        <v>6</v>
      </c>
      <c r="E828" s="4" t="s">
        <v>99</v>
      </c>
      <c r="F828" s="4">
        <v>530</v>
      </c>
      <c r="G828" s="4">
        <v>1997</v>
      </c>
      <c r="H828" s="4" t="s">
        <v>27</v>
      </c>
      <c r="I828" s="5">
        <v>1.82</v>
      </c>
      <c r="J828" s="3">
        <v>1888</v>
      </c>
      <c r="K828" s="3">
        <f>SUM(J828/I828)</f>
        <v>1037.3626373626373</v>
      </c>
      <c r="L828" s="3">
        <v>152</v>
      </c>
      <c r="M828" s="5">
        <v>2.8975</v>
      </c>
      <c r="N828" s="5">
        <f t="shared" si="66"/>
        <v>1.5920329670329669</v>
      </c>
      <c r="O828" s="5">
        <f t="shared" si="65"/>
        <v>3.0693855932203391</v>
      </c>
      <c r="P828" s="8">
        <v>37173</v>
      </c>
      <c r="Q828" s="6">
        <v>23</v>
      </c>
      <c r="R828" s="5">
        <v>3.21</v>
      </c>
      <c r="S828" s="6">
        <v>7.9</v>
      </c>
      <c r="T828" s="3"/>
    </row>
    <row r="829" spans="1:20" s="4" customFormat="1" ht="15" customHeight="1" x14ac:dyDescent="0.2">
      <c r="A829" s="4">
        <v>2002</v>
      </c>
      <c r="B829" s="4" t="s">
        <v>91</v>
      </c>
      <c r="C829" s="4">
        <v>1</v>
      </c>
      <c r="D829" s="4">
        <v>6</v>
      </c>
      <c r="E829" s="4" t="s">
        <v>99</v>
      </c>
      <c r="F829" s="4">
        <v>530</v>
      </c>
      <c r="G829" s="4">
        <v>1997</v>
      </c>
      <c r="H829" s="4" t="s">
        <v>27</v>
      </c>
      <c r="I829" s="5">
        <v>1.82</v>
      </c>
      <c r="J829" s="3">
        <v>1888</v>
      </c>
      <c r="K829" s="3">
        <f>SUM(J829/I829)</f>
        <v>1037.3626373626373</v>
      </c>
      <c r="L829" s="3">
        <v>195</v>
      </c>
      <c r="M829" s="5">
        <v>5.46</v>
      </c>
      <c r="N829" s="5">
        <f t="shared" si="66"/>
        <v>3</v>
      </c>
      <c r="O829" s="5">
        <f t="shared" si="65"/>
        <v>5.7838983050847457</v>
      </c>
      <c r="P829" s="8">
        <v>37894</v>
      </c>
      <c r="Q829" s="6">
        <v>24.2</v>
      </c>
      <c r="R829" s="5">
        <v>3.4</v>
      </c>
      <c r="S829" s="6">
        <v>5.9</v>
      </c>
      <c r="T829" s="3"/>
    </row>
    <row r="830" spans="1:20" s="4" customFormat="1" ht="15" customHeight="1" x14ac:dyDescent="0.2">
      <c r="A830" s="4">
        <v>2003</v>
      </c>
      <c r="B830" s="4" t="s">
        <v>91</v>
      </c>
      <c r="C830" s="4">
        <v>1</v>
      </c>
      <c r="D830" s="4">
        <v>6</v>
      </c>
      <c r="E830" s="4" t="s">
        <v>99</v>
      </c>
      <c r="F830" s="4">
        <v>530</v>
      </c>
      <c r="G830" s="4">
        <v>1997</v>
      </c>
      <c r="H830" s="4" t="s">
        <v>27</v>
      </c>
      <c r="I830" s="5">
        <v>1.82</v>
      </c>
      <c r="J830" s="3">
        <v>1888</v>
      </c>
      <c r="K830" s="3">
        <f>SUM(J830/I830)</f>
        <v>1037.3626373626373</v>
      </c>
      <c r="L830" s="3">
        <v>176</v>
      </c>
      <c r="M830" s="5">
        <v>6.6</v>
      </c>
      <c r="N830" s="5">
        <f t="shared" si="66"/>
        <v>3.6263736263736259</v>
      </c>
      <c r="O830" s="5">
        <f t="shared" si="65"/>
        <v>6.9915254237288131</v>
      </c>
      <c r="P830" s="8">
        <v>37895</v>
      </c>
      <c r="Q830" s="6">
        <v>23</v>
      </c>
      <c r="R830" s="5">
        <v>3.44</v>
      </c>
      <c r="S830" s="6">
        <v>5.9</v>
      </c>
      <c r="T830" s="3"/>
    </row>
    <row r="831" spans="1:20" s="4" customFormat="1" ht="15" customHeight="1" x14ac:dyDescent="0.2">
      <c r="A831" s="4">
        <v>2004</v>
      </c>
      <c r="B831" s="4" t="s">
        <v>91</v>
      </c>
      <c r="C831" s="4">
        <v>1</v>
      </c>
      <c r="D831" s="4">
        <v>6</v>
      </c>
      <c r="E831" s="4" t="s">
        <v>99</v>
      </c>
      <c r="F831" s="4">
        <v>530</v>
      </c>
      <c r="G831" s="4">
        <v>1997</v>
      </c>
      <c r="H831" s="4" t="s">
        <v>27</v>
      </c>
      <c r="I831" s="5">
        <v>1.82</v>
      </c>
      <c r="J831" s="3">
        <v>1888</v>
      </c>
      <c r="K831" s="3">
        <v>1374</v>
      </c>
      <c r="L831" s="3">
        <v>165</v>
      </c>
      <c r="M831" s="5">
        <v>8.5</v>
      </c>
      <c r="N831" s="5">
        <f t="shared" si="66"/>
        <v>4.6703296703296706</v>
      </c>
      <c r="O831" s="5">
        <f t="shared" si="65"/>
        <v>9.0042372881355934</v>
      </c>
      <c r="P831" s="8">
        <v>38272</v>
      </c>
      <c r="Q831" s="6">
        <v>22.2</v>
      </c>
      <c r="R831" s="5">
        <v>3.26</v>
      </c>
      <c r="S831" s="6">
        <v>6.3</v>
      </c>
      <c r="T831" s="3"/>
    </row>
    <row r="832" spans="1:20" s="4" customFormat="1" ht="15" customHeight="1" x14ac:dyDescent="0.2">
      <c r="A832" s="4">
        <v>2005</v>
      </c>
      <c r="B832" s="4" t="s">
        <v>91</v>
      </c>
      <c r="C832" s="4">
        <v>1</v>
      </c>
      <c r="D832" s="4">
        <v>6</v>
      </c>
      <c r="E832" s="4" t="s">
        <v>99</v>
      </c>
      <c r="F832" s="4">
        <v>530</v>
      </c>
      <c r="G832" s="4">
        <v>1997</v>
      </c>
      <c r="H832" s="4" t="s">
        <v>27</v>
      </c>
      <c r="I832" s="5">
        <v>1.82</v>
      </c>
      <c r="J832" s="3">
        <v>1888</v>
      </c>
      <c r="K832" s="3">
        <v>1374</v>
      </c>
      <c r="L832" s="3">
        <v>152</v>
      </c>
      <c r="M832" s="5">
        <v>4.2</v>
      </c>
      <c r="N832" s="5">
        <f t="shared" si="66"/>
        <v>2.3076923076923079</v>
      </c>
      <c r="O832" s="5">
        <f t="shared" si="65"/>
        <v>4.4491525423728815</v>
      </c>
      <c r="P832" s="8">
        <v>38624</v>
      </c>
      <c r="Q832" s="6">
        <v>24.2</v>
      </c>
      <c r="R832" s="5">
        <v>3.37</v>
      </c>
      <c r="S832" s="6">
        <v>7.3</v>
      </c>
      <c r="T832" s="3"/>
    </row>
    <row r="833" spans="1:20" s="4" customFormat="1" ht="15" customHeight="1" x14ac:dyDescent="0.2">
      <c r="A833" s="4">
        <v>2006</v>
      </c>
      <c r="B833" s="4" t="s">
        <v>91</v>
      </c>
      <c r="C833" s="4">
        <v>1</v>
      </c>
      <c r="D833" s="4">
        <v>6</v>
      </c>
      <c r="E833" s="4" t="s">
        <v>99</v>
      </c>
      <c r="F833" s="4">
        <v>530</v>
      </c>
      <c r="G833" s="4">
        <v>1997</v>
      </c>
      <c r="H833" s="4" t="s">
        <v>27</v>
      </c>
      <c r="I833" s="5">
        <v>1.82</v>
      </c>
      <c r="J833" s="3">
        <v>1888</v>
      </c>
      <c r="K833" s="3">
        <v>1374</v>
      </c>
      <c r="L833" s="3">
        <v>136</v>
      </c>
      <c r="M833" s="5">
        <v>4.5</v>
      </c>
      <c r="N833" s="5">
        <f t="shared" si="66"/>
        <v>2.4725274725274726</v>
      </c>
      <c r="O833" s="5">
        <f t="shared" si="65"/>
        <v>4.7669491525423728</v>
      </c>
      <c r="P833" s="8">
        <v>38987</v>
      </c>
      <c r="Q833" s="6">
        <v>22.9</v>
      </c>
      <c r="R833" s="5">
        <v>3.12</v>
      </c>
      <c r="S833" s="6">
        <v>6.6</v>
      </c>
      <c r="T833" s="3"/>
    </row>
    <row r="834" spans="1:20" s="4" customFormat="1" ht="15" customHeight="1" x14ac:dyDescent="0.2">
      <c r="A834" s="4">
        <v>2007</v>
      </c>
      <c r="B834" s="4" t="s">
        <v>91</v>
      </c>
      <c r="C834" s="4">
        <v>1</v>
      </c>
      <c r="D834" s="4">
        <v>6</v>
      </c>
      <c r="E834" s="4" t="s">
        <v>99</v>
      </c>
      <c r="F834" s="4">
        <v>530</v>
      </c>
      <c r="G834" s="4">
        <v>1997</v>
      </c>
      <c r="H834" s="4" t="s">
        <v>27</v>
      </c>
      <c r="I834" s="5">
        <v>1.82</v>
      </c>
      <c r="J834" s="3">
        <v>1888</v>
      </c>
      <c r="K834" s="3">
        <v>1374</v>
      </c>
      <c r="L834" s="3">
        <v>155</v>
      </c>
      <c r="M834" s="5">
        <v>4.3</v>
      </c>
      <c r="N834" s="5">
        <f t="shared" si="66"/>
        <v>2.3626373626373622</v>
      </c>
      <c r="O834" s="5">
        <f t="shared" si="65"/>
        <v>4.5550847457627119</v>
      </c>
      <c r="P834" s="8">
        <v>39356</v>
      </c>
      <c r="Q834" s="6">
        <v>22.2</v>
      </c>
      <c r="R834" s="5">
        <v>3.27</v>
      </c>
      <c r="S834" s="6">
        <v>7.8</v>
      </c>
      <c r="T834" s="3"/>
    </row>
    <row r="835" spans="1:20" s="4" customFormat="1" ht="15" customHeight="1" x14ac:dyDescent="0.2">
      <c r="A835" s="4">
        <v>2008</v>
      </c>
      <c r="B835" s="4" t="s">
        <v>91</v>
      </c>
      <c r="C835" s="4">
        <v>1</v>
      </c>
      <c r="D835" s="4">
        <v>6</v>
      </c>
      <c r="E835" s="4" t="s">
        <v>99</v>
      </c>
      <c r="F835" s="4">
        <v>530</v>
      </c>
      <c r="G835" s="4">
        <v>1997</v>
      </c>
      <c r="H835" s="4" t="s">
        <v>27</v>
      </c>
      <c r="I835" s="5">
        <v>1.82</v>
      </c>
      <c r="J835" s="3">
        <v>1888</v>
      </c>
      <c r="K835" s="3">
        <v>1374</v>
      </c>
      <c r="L835" s="3">
        <v>165</v>
      </c>
      <c r="M835" s="5">
        <v>5.3</v>
      </c>
      <c r="N835" s="5">
        <f t="shared" si="66"/>
        <v>2.912087912087912</v>
      </c>
      <c r="O835" s="5">
        <f t="shared" si="65"/>
        <v>5.6144067796610173</v>
      </c>
      <c r="P835" s="8">
        <v>39356</v>
      </c>
      <c r="Q835" s="6">
        <v>22.1</v>
      </c>
      <c r="R835" s="5">
        <v>3.32</v>
      </c>
      <c r="S835" s="6">
        <v>7.7</v>
      </c>
      <c r="T835" s="3"/>
    </row>
    <row r="836" spans="1:20" s="4" customFormat="1" ht="15" customHeight="1" x14ac:dyDescent="0.2">
      <c r="A836" s="4">
        <v>2009</v>
      </c>
      <c r="B836" s="4" t="s">
        <v>91</v>
      </c>
      <c r="C836" s="4">
        <v>1</v>
      </c>
      <c r="D836" s="4">
        <v>6</v>
      </c>
      <c r="E836" s="4" t="s">
        <v>99</v>
      </c>
      <c r="F836" s="4">
        <v>530</v>
      </c>
      <c r="G836" s="4">
        <v>1997</v>
      </c>
      <c r="H836" s="4" t="s">
        <v>27</v>
      </c>
      <c r="I836" s="5">
        <v>1.82</v>
      </c>
      <c r="J836" s="3">
        <v>1888</v>
      </c>
      <c r="K836" s="3">
        <v>1374</v>
      </c>
      <c r="L836" s="3">
        <v>160</v>
      </c>
      <c r="M836" s="5">
        <v>8.1999999999999993</v>
      </c>
      <c r="N836" s="5">
        <f t="shared" si="66"/>
        <v>4.5054945054945046</v>
      </c>
      <c r="O836" s="5">
        <f t="shared" si="65"/>
        <v>8.6864406779661021</v>
      </c>
      <c r="P836" s="8">
        <v>40086</v>
      </c>
      <c r="Q836" s="6">
        <v>26.6</v>
      </c>
      <c r="R836" s="5">
        <v>3.65</v>
      </c>
      <c r="S836" s="6">
        <v>5.9</v>
      </c>
      <c r="T836" s="3"/>
    </row>
    <row r="837" spans="1:20" s="4" customFormat="1" ht="15" customHeight="1" x14ac:dyDescent="0.2">
      <c r="A837" s="4">
        <v>2010</v>
      </c>
      <c r="B837" s="4" t="s">
        <v>91</v>
      </c>
      <c r="C837" s="4">
        <v>1</v>
      </c>
      <c r="D837" s="4">
        <v>6</v>
      </c>
      <c r="E837" s="4" t="s">
        <v>99</v>
      </c>
      <c r="F837" s="4">
        <v>530</v>
      </c>
      <c r="G837" s="4">
        <v>1997</v>
      </c>
      <c r="H837" s="4" t="s">
        <v>27</v>
      </c>
      <c r="I837" s="5">
        <v>1.82</v>
      </c>
      <c r="J837" s="3">
        <v>1888</v>
      </c>
      <c r="K837" s="3">
        <v>1374</v>
      </c>
      <c r="L837" s="3">
        <v>127</v>
      </c>
      <c r="M837" s="5">
        <v>6.1</v>
      </c>
      <c r="N837" s="5">
        <f t="shared" si="66"/>
        <v>3.3516483516483513</v>
      </c>
      <c r="O837" s="5">
        <f t="shared" si="65"/>
        <v>6.4618644067796609</v>
      </c>
      <c r="P837" s="8">
        <v>40456</v>
      </c>
      <c r="Q837" s="6">
        <v>22</v>
      </c>
      <c r="R837" s="5">
        <v>3.17</v>
      </c>
      <c r="S837" s="6">
        <v>9.4</v>
      </c>
      <c r="T837" s="3"/>
    </row>
    <row r="838" spans="1:20" s="4" customFormat="1" ht="15" customHeight="1" x14ac:dyDescent="0.2">
      <c r="A838" s="4">
        <v>2011</v>
      </c>
      <c r="B838" s="4" t="s">
        <v>91</v>
      </c>
      <c r="C838" s="4">
        <v>1</v>
      </c>
      <c r="D838" s="4">
        <v>6</v>
      </c>
      <c r="E838" s="4" t="s">
        <v>99</v>
      </c>
      <c r="F838" s="4">
        <v>530</v>
      </c>
      <c r="G838" s="4">
        <v>1997</v>
      </c>
      <c r="H838" s="4" t="s">
        <v>27</v>
      </c>
      <c r="I838" s="5">
        <v>1.82</v>
      </c>
      <c r="J838" s="3">
        <v>1888</v>
      </c>
      <c r="K838" s="3">
        <v>1374</v>
      </c>
      <c r="L838" s="3">
        <v>160</v>
      </c>
      <c r="M838" s="5">
        <v>3.96</v>
      </c>
      <c r="N838" s="5">
        <f t="shared" si="66"/>
        <v>2.1758241758241756</v>
      </c>
      <c r="O838" s="5">
        <f t="shared" si="65"/>
        <v>4.1949152542372881</v>
      </c>
      <c r="P838" s="8">
        <v>40820</v>
      </c>
      <c r="Q838" s="6">
        <v>20.2</v>
      </c>
      <c r="R838" s="5">
        <v>3.24</v>
      </c>
      <c r="S838" s="6">
        <v>7.95</v>
      </c>
      <c r="T838" s="3"/>
    </row>
    <row r="839" spans="1:20" s="4" customFormat="1" ht="15" customHeight="1" x14ac:dyDescent="0.2">
      <c r="A839" s="4">
        <v>2012</v>
      </c>
      <c r="B839" s="4" t="s">
        <v>91</v>
      </c>
      <c r="C839" s="4">
        <v>1</v>
      </c>
      <c r="D839" s="4">
        <v>6</v>
      </c>
      <c r="E839" s="4" t="s">
        <v>99</v>
      </c>
      <c r="F839" s="4">
        <v>530</v>
      </c>
      <c r="G839" s="4">
        <v>1997</v>
      </c>
      <c r="H839" s="4" t="s">
        <v>27</v>
      </c>
      <c r="I839" s="5">
        <v>1.82</v>
      </c>
      <c r="J839" s="3">
        <v>1888</v>
      </c>
      <c r="K839" s="3">
        <v>1374</v>
      </c>
      <c r="L839" s="3">
        <v>180</v>
      </c>
      <c r="M839" s="5">
        <v>3.94</v>
      </c>
      <c r="N839" s="5">
        <f t="shared" si="66"/>
        <v>2.1648351648351647</v>
      </c>
      <c r="O839" s="5">
        <f t="shared" si="65"/>
        <v>4.1737288135593218</v>
      </c>
      <c r="P839" s="8">
        <v>41181</v>
      </c>
      <c r="Q839" s="6">
        <v>21</v>
      </c>
      <c r="R839" s="5">
        <v>3.16</v>
      </c>
      <c r="S839" s="6">
        <v>7</v>
      </c>
      <c r="T839" s="3"/>
    </row>
    <row r="840" spans="1:20" s="4" customFormat="1" ht="15" customHeight="1" x14ac:dyDescent="0.2">
      <c r="A840" s="4">
        <v>2000</v>
      </c>
      <c r="B840" s="4" t="s">
        <v>115</v>
      </c>
      <c r="C840" s="4">
        <v>1</v>
      </c>
      <c r="D840" s="4">
        <v>6</v>
      </c>
      <c r="E840" s="4" t="s">
        <v>57</v>
      </c>
      <c r="H840" s="4" t="s">
        <v>58</v>
      </c>
      <c r="I840" s="5">
        <v>0.25</v>
      </c>
      <c r="J840" s="3">
        <v>260</v>
      </c>
      <c r="K840" s="3"/>
      <c r="L840" s="3"/>
      <c r="M840" s="5">
        <v>0.72450000000000003</v>
      </c>
      <c r="N840" s="5">
        <f t="shared" si="66"/>
        <v>2.8980000000000001</v>
      </c>
      <c r="O840" s="5">
        <f t="shared" si="65"/>
        <v>5.5730769230769228</v>
      </c>
      <c r="P840" s="8">
        <v>37913</v>
      </c>
      <c r="Q840" s="6">
        <v>19.2</v>
      </c>
      <c r="R840" s="5">
        <v>3.25</v>
      </c>
      <c r="S840" s="6">
        <v>9.3000000000000007</v>
      </c>
      <c r="T840" s="3"/>
    </row>
    <row r="841" spans="1:20" s="4" customFormat="1" ht="15" customHeight="1" x14ac:dyDescent="0.2">
      <c r="A841" s="4">
        <v>2001</v>
      </c>
      <c r="B841" s="4" t="s">
        <v>115</v>
      </c>
      <c r="C841" s="4">
        <v>1</v>
      </c>
      <c r="D841" s="4">
        <v>6</v>
      </c>
      <c r="E841" s="4" t="s">
        <v>57</v>
      </c>
      <c r="H841" s="4" t="s">
        <v>58</v>
      </c>
      <c r="I841" s="5">
        <v>0.25</v>
      </c>
      <c r="J841" s="3">
        <v>260</v>
      </c>
      <c r="K841" s="3"/>
      <c r="L841" s="3">
        <v>142</v>
      </c>
      <c r="M841" s="5">
        <v>0.99</v>
      </c>
      <c r="N841" s="5">
        <f t="shared" si="66"/>
        <v>3.96</v>
      </c>
      <c r="O841" s="5">
        <f t="shared" si="65"/>
        <v>7.615384615384615</v>
      </c>
      <c r="P841" s="8">
        <v>37898</v>
      </c>
      <c r="Q841" s="6">
        <v>18.600000000000001</v>
      </c>
      <c r="R841" s="5">
        <v>3.15</v>
      </c>
      <c r="S841" s="6">
        <v>10.1</v>
      </c>
      <c r="T841" s="3"/>
    </row>
    <row r="842" spans="1:20" s="4" customFormat="1" ht="15" customHeight="1" x14ac:dyDescent="0.2">
      <c r="A842" s="4">
        <v>2002</v>
      </c>
      <c r="B842" s="4" t="s">
        <v>115</v>
      </c>
      <c r="C842" s="4">
        <v>1</v>
      </c>
      <c r="D842" s="4">
        <v>6</v>
      </c>
      <c r="E842" s="4" t="s">
        <v>57</v>
      </c>
      <c r="H842" s="4" t="s">
        <v>58</v>
      </c>
      <c r="I842" s="5">
        <v>0.25</v>
      </c>
      <c r="J842" s="3">
        <v>260</v>
      </c>
      <c r="K842" s="3"/>
      <c r="L842" s="3"/>
      <c r="M842" s="5">
        <v>1.18</v>
      </c>
      <c r="N842" s="5">
        <f t="shared" si="66"/>
        <v>4.72</v>
      </c>
      <c r="O842" s="5">
        <f t="shared" si="65"/>
        <v>9.0769230769230766</v>
      </c>
      <c r="P842" s="8">
        <v>37901</v>
      </c>
      <c r="Q842" s="6">
        <v>18.399999999999999</v>
      </c>
      <c r="R842" s="5">
        <v>3.13</v>
      </c>
      <c r="S842" s="6">
        <v>10.199999999999999</v>
      </c>
      <c r="T842" s="3"/>
    </row>
    <row r="843" spans="1:20" s="4" customFormat="1" ht="15" customHeight="1" x14ac:dyDescent="0.2">
      <c r="A843" s="4">
        <v>2003</v>
      </c>
      <c r="B843" s="4" t="s">
        <v>115</v>
      </c>
      <c r="C843" s="4">
        <v>1</v>
      </c>
      <c r="D843" s="4">
        <v>6</v>
      </c>
      <c r="E843" s="4" t="s">
        <v>57</v>
      </c>
      <c r="H843" s="4" t="s">
        <v>58</v>
      </c>
      <c r="I843" s="5">
        <v>0.25</v>
      </c>
      <c r="J843" s="3">
        <v>260</v>
      </c>
      <c r="K843" s="3"/>
      <c r="L843" s="3"/>
      <c r="M843" s="5">
        <v>0.6</v>
      </c>
      <c r="N843" s="5">
        <f t="shared" si="66"/>
        <v>2.4</v>
      </c>
      <c r="O843" s="5">
        <f t="shared" si="65"/>
        <v>4.615384615384615</v>
      </c>
      <c r="P843" s="8"/>
      <c r="Q843" s="6"/>
      <c r="R843" s="5"/>
      <c r="S843" s="6"/>
      <c r="T843" s="3"/>
    </row>
    <row r="844" spans="1:20" s="4" customFormat="1" ht="15" customHeight="1" x14ac:dyDescent="0.2">
      <c r="A844" s="4">
        <v>2004</v>
      </c>
      <c r="B844" s="4" t="s">
        <v>115</v>
      </c>
      <c r="C844" s="4">
        <v>1</v>
      </c>
      <c r="D844" s="4">
        <v>6</v>
      </c>
      <c r="E844" s="4" t="s">
        <v>57</v>
      </c>
      <c r="H844" s="4" t="s">
        <v>58</v>
      </c>
      <c r="I844" s="5">
        <v>0.25</v>
      </c>
      <c r="J844" s="3">
        <v>260</v>
      </c>
      <c r="K844" s="3"/>
      <c r="L844" s="3">
        <v>140</v>
      </c>
      <c r="M844" s="5">
        <v>0.8</v>
      </c>
      <c r="N844" s="5">
        <f t="shared" si="66"/>
        <v>3.2</v>
      </c>
      <c r="O844" s="5">
        <f t="shared" si="65"/>
        <v>6.1538461538461542</v>
      </c>
      <c r="P844" s="8">
        <v>38256</v>
      </c>
      <c r="Q844" s="6">
        <v>19</v>
      </c>
      <c r="R844" s="5">
        <v>3.12</v>
      </c>
      <c r="S844" s="6">
        <v>10.6</v>
      </c>
      <c r="T844" s="3"/>
    </row>
    <row r="845" spans="1:20" s="4" customFormat="1" ht="15" customHeight="1" x14ac:dyDescent="0.2">
      <c r="A845" s="4">
        <v>2005</v>
      </c>
      <c r="B845" s="4" t="s">
        <v>115</v>
      </c>
      <c r="C845" s="4">
        <v>1</v>
      </c>
      <c r="D845" s="4">
        <v>6</v>
      </c>
      <c r="E845" s="4" t="s">
        <v>57</v>
      </c>
      <c r="H845" s="4" t="s">
        <v>58</v>
      </c>
      <c r="I845" s="5">
        <v>0.25</v>
      </c>
      <c r="J845" s="3">
        <v>260</v>
      </c>
      <c r="K845" s="3"/>
      <c r="L845" s="3">
        <v>145</v>
      </c>
      <c r="M845" s="5">
        <v>0.9</v>
      </c>
      <c r="N845" s="5">
        <f t="shared" si="66"/>
        <v>3.6</v>
      </c>
      <c r="O845" s="5">
        <f t="shared" si="65"/>
        <v>6.9230769230769234</v>
      </c>
      <c r="P845" s="8">
        <v>38634</v>
      </c>
      <c r="Q845" s="6">
        <v>21</v>
      </c>
      <c r="R845" s="5">
        <v>3.15</v>
      </c>
      <c r="S845" s="6">
        <v>8.1</v>
      </c>
      <c r="T845" s="3"/>
    </row>
    <row r="846" spans="1:20" s="4" customFormat="1" ht="15" customHeight="1" x14ac:dyDescent="0.2">
      <c r="A846" s="4">
        <v>2006</v>
      </c>
      <c r="B846" s="4" t="s">
        <v>115</v>
      </c>
      <c r="C846" s="4">
        <v>1</v>
      </c>
      <c r="D846" s="4">
        <v>6</v>
      </c>
      <c r="E846" s="4" t="s">
        <v>57</v>
      </c>
      <c r="H846" s="4" t="s">
        <v>58</v>
      </c>
      <c r="I846" s="5">
        <v>0.25</v>
      </c>
      <c r="J846" s="3">
        <v>260</v>
      </c>
      <c r="K846" s="3"/>
      <c r="L846" s="3">
        <v>155</v>
      </c>
      <c r="M846" s="5">
        <v>0.8</v>
      </c>
      <c r="N846" s="5">
        <f t="shared" si="66"/>
        <v>3.2</v>
      </c>
      <c r="O846" s="5">
        <f t="shared" si="65"/>
        <v>6.1538461538461542</v>
      </c>
      <c r="P846" s="8">
        <v>38991</v>
      </c>
      <c r="Q846" s="6">
        <v>20.6</v>
      </c>
      <c r="R846" s="5">
        <v>3.16</v>
      </c>
      <c r="S846" s="6">
        <v>8.5</v>
      </c>
      <c r="T846" s="3"/>
    </row>
    <row r="847" spans="1:20" s="4" customFormat="1" ht="15" customHeight="1" x14ac:dyDescent="0.2">
      <c r="A847" s="4">
        <v>2008</v>
      </c>
      <c r="B847" s="4" t="s">
        <v>115</v>
      </c>
      <c r="C847" s="4">
        <v>1</v>
      </c>
      <c r="D847" s="4">
        <v>2</v>
      </c>
      <c r="E847" s="4" t="s">
        <v>55</v>
      </c>
      <c r="F847" s="4">
        <v>174</v>
      </c>
      <c r="G847" s="4">
        <v>2006</v>
      </c>
      <c r="H847" s="4" t="s">
        <v>60</v>
      </c>
      <c r="I847" s="5">
        <v>1.6</v>
      </c>
      <c r="J847" s="3">
        <v>1748</v>
      </c>
      <c r="K847" s="3">
        <v>1748</v>
      </c>
      <c r="L847" s="3">
        <v>320</v>
      </c>
      <c r="M847" s="5">
        <v>3.6</v>
      </c>
      <c r="N847" s="5">
        <f>(M847/I847)</f>
        <v>2.25</v>
      </c>
      <c r="O847" s="5">
        <f t="shared" si="65"/>
        <v>4.1189931350114417</v>
      </c>
      <c r="P847" s="8">
        <v>39727</v>
      </c>
      <c r="Q847" s="6">
        <v>20.5</v>
      </c>
      <c r="R847" s="5">
        <v>3.28</v>
      </c>
      <c r="S847" s="6">
        <v>9.43</v>
      </c>
      <c r="T847" s="3"/>
    </row>
    <row r="848" spans="1:20" s="4" customFormat="1" ht="15" customHeight="1" x14ac:dyDescent="0.2">
      <c r="A848" s="4">
        <v>2009</v>
      </c>
      <c r="B848" s="4" t="s">
        <v>115</v>
      </c>
      <c r="C848" s="4">
        <v>1</v>
      </c>
      <c r="D848" s="4">
        <v>2</v>
      </c>
      <c r="E848" s="4" t="s">
        <v>55</v>
      </c>
      <c r="F848" s="4">
        <v>174</v>
      </c>
      <c r="G848" s="4">
        <v>2006</v>
      </c>
      <c r="H848" s="4" t="s">
        <v>60</v>
      </c>
      <c r="I848" s="5">
        <v>1.6</v>
      </c>
      <c r="J848" s="3">
        <v>1748</v>
      </c>
      <c r="K848" s="3">
        <v>1748</v>
      </c>
      <c r="L848" s="3"/>
      <c r="M848" s="5">
        <v>1.1000000000000001</v>
      </c>
      <c r="N848" s="5">
        <f>(M848/I848)</f>
        <v>0.6875</v>
      </c>
      <c r="O848" s="5">
        <f t="shared" si="65"/>
        <v>1.2585812356979404</v>
      </c>
      <c r="P848" s="8">
        <v>40090</v>
      </c>
      <c r="Q848" s="6">
        <v>25.2</v>
      </c>
      <c r="R848" s="5">
        <v>3.74</v>
      </c>
      <c r="S848" s="6">
        <v>9.6999999999999993</v>
      </c>
      <c r="T848" s="3"/>
    </row>
    <row r="849" spans="1:22" s="4" customFormat="1" ht="15" customHeight="1" x14ac:dyDescent="0.2">
      <c r="A849" s="4">
        <v>2010</v>
      </c>
      <c r="B849" s="4" t="s">
        <v>115</v>
      </c>
      <c r="C849" s="4">
        <v>1</v>
      </c>
      <c r="D849" s="4">
        <v>2</v>
      </c>
      <c r="E849" s="4" t="s">
        <v>55</v>
      </c>
      <c r="F849" s="4">
        <v>174</v>
      </c>
      <c r="G849" s="4">
        <v>2006</v>
      </c>
      <c r="H849" s="4" t="s">
        <v>60</v>
      </c>
      <c r="I849" s="5">
        <v>1.6</v>
      </c>
      <c r="J849" s="3">
        <v>1748</v>
      </c>
      <c r="K849" s="3">
        <v>1748</v>
      </c>
      <c r="L849" s="3">
        <v>200</v>
      </c>
      <c r="M849" s="5">
        <v>2.6</v>
      </c>
      <c r="N849" s="5">
        <f>(M849/I849)</f>
        <v>1.625</v>
      </c>
      <c r="O849" s="5">
        <f t="shared" si="65"/>
        <v>2.9748283752860414</v>
      </c>
      <c r="P849" s="8">
        <v>40461</v>
      </c>
      <c r="Q849" s="6">
        <v>22</v>
      </c>
      <c r="R849" s="5">
        <v>3.13</v>
      </c>
      <c r="S849" s="6">
        <v>13.7</v>
      </c>
      <c r="T849" s="3"/>
    </row>
    <row r="850" spans="1:22" s="4" customFormat="1" ht="15" customHeight="1" x14ac:dyDescent="0.2">
      <c r="A850" s="4">
        <v>2011</v>
      </c>
      <c r="B850" s="4" t="s">
        <v>115</v>
      </c>
      <c r="C850" s="4">
        <v>1</v>
      </c>
      <c r="D850" s="4">
        <v>2</v>
      </c>
      <c r="E850" s="4" t="s">
        <v>55</v>
      </c>
      <c r="F850" s="4">
        <v>174</v>
      </c>
      <c r="G850" s="4">
        <v>2006</v>
      </c>
      <c r="H850" s="4" t="s">
        <v>60</v>
      </c>
      <c r="I850" s="5">
        <v>1.6</v>
      </c>
      <c r="J850" s="3">
        <v>1748</v>
      </c>
      <c r="K850" s="3">
        <v>1748</v>
      </c>
      <c r="L850" s="3">
        <v>295</v>
      </c>
      <c r="M850" s="5">
        <v>3.09</v>
      </c>
      <c r="N850" s="5">
        <f>(M850/I850)</f>
        <v>1.9312499999999999</v>
      </c>
      <c r="O850" s="5">
        <f t="shared" si="65"/>
        <v>3.5354691075514872</v>
      </c>
      <c r="P850" s="8">
        <v>40825</v>
      </c>
      <c r="Q850" s="6"/>
      <c r="R850" s="5"/>
      <c r="S850" s="6"/>
      <c r="T850" s="3"/>
    </row>
    <row r="851" spans="1:22" s="4" customFormat="1" ht="15" customHeight="1" x14ac:dyDescent="0.2">
      <c r="A851" s="4">
        <v>2012</v>
      </c>
      <c r="B851" s="4" t="s">
        <v>115</v>
      </c>
      <c r="C851" s="4">
        <v>1</v>
      </c>
      <c r="D851" s="4">
        <v>2</v>
      </c>
      <c r="E851" s="4" t="s">
        <v>55</v>
      </c>
      <c r="F851" s="4">
        <v>174</v>
      </c>
      <c r="G851" s="4">
        <v>2006</v>
      </c>
      <c r="H851" s="4" t="s">
        <v>60</v>
      </c>
      <c r="I851" s="5">
        <v>1.6</v>
      </c>
      <c r="J851" s="3">
        <v>1748</v>
      </c>
      <c r="K851" s="3">
        <v>1748</v>
      </c>
      <c r="L851" s="3">
        <v>290</v>
      </c>
      <c r="M851" s="5">
        <v>3.06</v>
      </c>
      <c r="N851" s="5">
        <f>(M851/I851)</f>
        <v>1.9124999999999999</v>
      </c>
      <c r="O851" s="5">
        <f t="shared" si="65"/>
        <v>3.5011441647597255</v>
      </c>
      <c r="P851" s="8">
        <v>41202</v>
      </c>
      <c r="Q851" s="6">
        <v>23.6</v>
      </c>
      <c r="R851" s="5">
        <v>3.48</v>
      </c>
      <c r="S851" s="6">
        <v>7.43</v>
      </c>
      <c r="T851" s="3"/>
    </row>
    <row r="852" spans="1:22" s="4" customFormat="1" ht="15" customHeight="1" x14ac:dyDescent="0.2">
      <c r="A852" s="4">
        <v>2012</v>
      </c>
      <c r="B852" s="4" t="s">
        <v>91</v>
      </c>
      <c r="C852" s="4">
        <v>2</v>
      </c>
      <c r="D852" s="4">
        <v>1</v>
      </c>
      <c r="E852" s="4" t="s">
        <v>55</v>
      </c>
      <c r="I852" s="5"/>
      <c r="J852" s="3"/>
      <c r="K852" s="3"/>
      <c r="L852" s="3">
        <v>250</v>
      </c>
      <c r="M852" s="5">
        <v>5.3</v>
      </c>
      <c r="N852" s="5"/>
      <c r="O852" s="5"/>
      <c r="P852" s="8">
        <v>41202</v>
      </c>
      <c r="Q852" s="6">
        <v>24.8</v>
      </c>
      <c r="R852" s="5">
        <v>3.6</v>
      </c>
      <c r="S852" s="6">
        <v>6.09</v>
      </c>
      <c r="T852" s="3"/>
    </row>
    <row r="853" spans="1:22" s="4" customFormat="1" ht="15" customHeight="1" x14ac:dyDescent="0.2">
      <c r="A853" s="4">
        <v>2013</v>
      </c>
      <c r="B853" s="4" t="s">
        <v>91</v>
      </c>
      <c r="C853" s="4">
        <v>1</v>
      </c>
      <c r="D853" s="4">
        <v>1</v>
      </c>
      <c r="E853" s="4" t="s">
        <v>101</v>
      </c>
      <c r="F853" s="4">
        <v>339</v>
      </c>
      <c r="G853" s="4">
        <v>1997</v>
      </c>
      <c r="H853" s="4" t="s">
        <v>113</v>
      </c>
      <c r="I853" s="5">
        <v>7.0000000000000007E-2</v>
      </c>
      <c r="J853" s="4">
        <v>208</v>
      </c>
      <c r="K853" s="3">
        <v>2971.4285714285711</v>
      </c>
      <c r="L853" s="3"/>
      <c r="M853" s="5">
        <v>0.32</v>
      </c>
      <c r="N853" s="5">
        <f>M853/I853</f>
        <v>4.5714285714285712</v>
      </c>
      <c r="O853" s="5">
        <f>(M853*2000)/J853</f>
        <v>3.0769230769230771</v>
      </c>
      <c r="P853" s="26">
        <v>41570</v>
      </c>
      <c r="Q853" s="6">
        <v>26</v>
      </c>
      <c r="R853" s="5">
        <v>3.61</v>
      </c>
      <c r="S853" s="6">
        <v>11.2</v>
      </c>
      <c r="T853" s="3"/>
    </row>
    <row r="854" spans="1:22" s="4" customFormat="1" ht="15" customHeight="1" x14ac:dyDescent="0.2">
      <c r="A854" s="4">
        <v>2013</v>
      </c>
      <c r="B854" s="4" t="s">
        <v>91</v>
      </c>
      <c r="C854" s="4">
        <v>4</v>
      </c>
      <c r="D854" s="4">
        <v>6</v>
      </c>
      <c r="E854" s="4" t="s">
        <v>101</v>
      </c>
      <c r="F854" s="4">
        <v>191</v>
      </c>
      <c r="G854" s="4">
        <v>1997</v>
      </c>
      <c r="H854" s="4" t="s">
        <v>14</v>
      </c>
      <c r="I854" s="5">
        <v>1.38</v>
      </c>
      <c r="J854" s="4">
        <v>1900</v>
      </c>
      <c r="K854" s="3">
        <v>1377</v>
      </c>
      <c r="L854" s="3"/>
      <c r="M854" s="5">
        <v>5.42</v>
      </c>
      <c r="N854" s="5">
        <f t="shared" ref="N854:N918" si="67">M854/I854</f>
        <v>3.9275362318840581</v>
      </c>
      <c r="O854" s="5">
        <f>(M854*2000)/J854</f>
        <v>5.7052631578947368</v>
      </c>
      <c r="P854" s="26">
        <v>41570</v>
      </c>
      <c r="Q854" s="6">
        <v>26</v>
      </c>
      <c r="R854" s="5">
        <v>3.61</v>
      </c>
      <c r="S854" s="6">
        <v>11.2</v>
      </c>
      <c r="T854" s="3"/>
    </row>
    <row r="855" spans="1:22" s="4" customFormat="1" ht="15" customHeight="1" x14ac:dyDescent="0.2">
      <c r="A855" s="4">
        <v>2013</v>
      </c>
      <c r="B855" s="4" t="s">
        <v>91</v>
      </c>
      <c r="C855" s="4">
        <v>4</v>
      </c>
      <c r="D855" s="4">
        <v>5</v>
      </c>
      <c r="E855" s="4" t="s">
        <v>101</v>
      </c>
      <c r="F855" s="4">
        <v>191</v>
      </c>
      <c r="G855" s="4">
        <v>2003</v>
      </c>
      <c r="H855" s="4" t="s">
        <v>34</v>
      </c>
      <c r="I855" s="5">
        <v>2.19</v>
      </c>
      <c r="J855" s="4">
        <v>3990</v>
      </c>
      <c r="K855" s="3">
        <v>1821.9178082191781</v>
      </c>
      <c r="L855" s="3"/>
      <c r="M855" s="5">
        <v>10.74</v>
      </c>
      <c r="N855" s="5">
        <f t="shared" si="67"/>
        <v>4.904109589041096</v>
      </c>
      <c r="O855" s="5">
        <f t="shared" ref="O855:O919" si="68">(M855*2000)/J855</f>
        <v>5.3834586466165417</v>
      </c>
      <c r="P855" s="8">
        <v>41570</v>
      </c>
      <c r="Q855" s="6">
        <v>26</v>
      </c>
      <c r="R855" s="5">
        <v>3.54</v>
      </c>
      <c r="S855" s="6">
        <v>10</v>
      </c>
      <c r="T855" s="3"/>
    </row>
    <row r="856" spans="1:22" s="4" customFormat="1" ht="15" customHeight="1" x14ac:dyDescent="0.2">
      <c r="A856" s="4">
        <v>2013</v>
      </c>
      <c r="B856" s="4" t="s">
        <v>91</v>
      </c>
      <c r="C856" s="4">
        <v>5</v>
      </c>
      <c r="D856" s="1">
        <v>7</v>
      </c>
      <c r="E856" s="4" t="s">
        <v>101</v>
      </c>
      <c r="F856" s="4">
        <v>191</v>
      </c>
      <c r="G856" s="4">
        <v>1997</v>
      </c>
      <c r="H856" s="4" t="s">
        <v>14</v>
      </c>
      <c r="I856" s="5">
        <v>1.25</v>
      </c>
      <c r="J856" s="4">
        <v>1716</v>
      </c>
      <c r="K856" s="3">
        <v>1372.8</v>
      </c>
      <c r="L856" s="3"/>
      <c r="M856" s="5">
        <v>5.52</v>
      </c>
      <c r="N856" s="5">
        <f t="shared" si="67"/>
        <v>4.4159999999999995</v>
      </c>
      <c r="O856" s="5">
        <f t="shared" si="68"/>
        <v>6.4335664335664333</v>
      </c>
      <c r="P856" s="26">
        <v>41570</v>
      </c>
      <c r="Q856" s="6">
        <v>22</v>
      </c>
      <c r="R856" s="5">
        <v>3.54</v>
      </c>
      <c r="S856" s="6">
        <v>10.1</v>
      </c>
      <c r="T856" s="3"/>
    </row>
    <row r="857" spans="1:22" s="4" customFormat="1" ht="15" customHeight="1" x14ac:dyDescent="0.2">
      <c r="A857" s="4">
        <v>2013</v>
      </c>
      <c r="B857" s="4" t="s">
        <v>160</v>
      </c>
      <c r="C857" s="4" t="s">
        <v>134</v>
      </c>
      <c r="E857" s="4" t="s">
        <v>7</v>
      </c>
      <c r="I857" s="5">
        <v>19.7</v>
      </c>
      <c r="K857" s="3"/>
      <c r="L857" s="3"/>
      <c r="M857" s="5">
        <v>101.28</v>
      </c>
      <c r="N857" s="5">
        <f t="shared" si="67"/>
        <v>5.1411167512690357</v>
      </c>
      <c r="O857" s="5"/>
      <c r="P857" s="8">
        <v>41541</v>
      </c>
      <c r="Q857" s="6"/>
      <c r="R857" s="5"/>
      <c r="S857" s="6"/>
      <c r="T857" s="3"/>
    </row>
    <row r="858" spans="1:22" s="4" customFormat="1" ht="15" customHeight="1" x14ac:dyDescent="0.2">
      <c r="A858" s="4">
        <v>2013</v>
      </c>
      <c r="B858" s="4" t="s">
        <v>91</v>
      </c>
      <c r="C858" s="4">
        <v>1</v>
      </c>
      <c r="D858" s="4">
        <v>2</v>
      </c>
      <c r="E858" s="4" t="s">
        <v>7</v>
      </c>
      <c r="F858" s="4">
        <v>548</v>
      </c>
      <c r="G858" s="4">
        <v>1996</v>
      </c>
      <c r="H858" s="4" t="s">
        <v>8</v>
      </c>
      <c r="I858" s="5">
        <v>0.86</v>
      </c>
      <c r="J858" s="3">
        <v>1519</v>
      </c>
      <c r="K858" s="3">
        <v>2020</v>
      </c>
      <c r="L858" s="3"/>
      <c r="M858" s="5">
        <v>1.57</v>
      </c>
      <c r="N858" s="5">
        <f t="shared" si="67"/>
        <v>1.8255813953488373</v>
      </c>
      <c r="O858" s="5">
        <f t="shared" si="68"/>
        <v>2.0671494404213298</v>
      </c>
      <c r="P858" s="26">
        <v>41544</v>
      </c>
      <c r="Q858" s="6">
        <v>22.2</v>
      </c>
      <c r="R858" s="5">
        <v>3.23</v>
      </c>
      <c r="S858" s="6">
        <v>6.2</v>
      </c>
      <c r="T858" s="3"/>
    </row>
    <row r="859" spans="1:22" s="4" customFormat="1" ht="15" customHeight="1" x14ac:dyDescent="0.2">
      <c r="A859" s="4">
        <v>2013</v>
      </c>
      <c r="B859" s="4" t="s">
        <v>91</v>
      </c>
      <c r="C859" s="4">
        <v>2</v>
      </c>
      <c r="D859" s="4">
        <v>4</v>
      </c>
      <c r="E859" s="4" t="s">
        <v>7</v>
      </c>
      <c r="F859" s="4" t="s">
        <v>9</v>
      </c>
      <c r="G859" s="4">
        <v>1987</v>
      </c>
      <c r="H859" s="4" t="s">
        <v>10</v>
      </c>
      <c r="I859" s="5">
        <v>1.42</v>
      </c>
      <c r="J859" s="4">
        <v>1532</v>
      </c>
      <c r="K859" s="3">
        <v>1079</v>
      </c>
      <c r="L859" s="3"/>
      <c r="M859" s="5">
        <v>8.44</v>
      </c>
      <c r="N859" s="5">
        <f t="shared" si="67"/>
        <v>5.943661971830986</v>
      </c>
      <c r="O859" s="5">
        <f t="shared" si="68"/>
        <v>11.018276762402088</v>
      </c>
      <c r="P859" s="8">
        <v>41550</v>
      </c>
      <c r="Q859" s="6">
        <v>23.2</v>
      </c>
      <c r="R859" s="5">
        <v>3.32</v>
      </c>
      <c r="S859" s="6">
        <v>9.8000000000000007</v>
      </c>
      <c r="T859" s="3"/>
    </row>
    <row r="860" spans="1:22" s="4" customFormat="1" ht="15" customHeight="1" x14ac:dyDescent="0.2">
      <c r="A860" s="4">
        <v>2013</v>
      </c>
      <c r="B860" s="4" t="s">
        <v>91</v>
      </c>
      <c r="C860" s="4">
        <v>2</v>
      </c>
      <c r="D860" s="4">
        <v>5</v>
      </c>
      <c r="E860" s="4" t="s">
        <v>7</v>
      </c>
      <c r="F860" s="4" t="s">
        <v>11</v>
      </c>
      <c r="G860" s="4">
        <v>1993</v>
      </c>
      <c r="H860" s="4" t="s">
        <v>12</v>
      </c>
      <c r="I860" s="5">
        <v>0.48</v>
      </c>
      <c r="J860" s="4">
        <v>800</v>
      </c>
      <c r="K860" s="3">
        <v>1667</v>
      </c>
      <c r="L860" s="3"/>
      <c r="M860" s="5">
        <v>4.4000000000000004</v>
      </c>
      <c r="N860" s="5">
        <v>26.75</v>
      </c>
      <c r="O860" s="5">
        <v>32.1</v>
      </c>
      <c r="P860" s="8">
        <v>41550</v>
      </c>
      <c r="Q860" s="6">
        <v>23.2</v>
      </c>
      <c r="R860" s="5">
        <v>3.32</v>
      </c>
      <c r="S860" s="6">
        <v>9.8000000000000007</v>
      </c>
      <c r="T860" s="3"/>
      <c r="V860" s="5"/>
    </row>
    <row r="861" spans="1:22" s="4" customFormat="1" ht="15" customHeight="1" x14ac:dyDescent="0.2">
      <c r="A861" s="4">
        <v>2013</v>
      </c>
      <c r="B861" s="4" t="s">
        <v>91</v>
      </c>
      <c r="C861" s="4">
        <v>3</v>
      </c>
      <c r="D861" s="4">
        <v>4</v>
      </c>
      <c r="E861" s="4" t="s">
        <v>7</v>
      </c>
      <c r="F861" s="4">
        <v>95</v>
      </c>
      <c r="G861" s="4">
        <v>1996</v>
      </c>
      <c r="H861" s="4" t="s">
        <v>13</v>
      </c>
      <c r="I861" s="5">
        <v>2.4700000000000002</v>
      </c>
      <c r="J861" s="3">
        <v>5000</v>
      </c>
      <c r="K861" s="3">
        <v>2024.2914979757084</v>
      </c>
      <c r="L861" s="3">
        <v>250</v>
      </c>
      <c r="M861" s="5">
        <v>15.51</v>
      </c>
      <c r="N861" s="5">
        <f t="shared" si="67"/>
        <v>6.279352226720647</v>
      </c>
      <c r="O861" s="5">
        <f t="shared" si="68"/>
        <v>6.2039999999999997</v>
      </c>
      <c r="P861" s="26">
        <v>41540</v>
      </c>
      <c r="Q861" s="6">
        <v>23</v>
      </c>
      <c r="R861" s="5">
        <v>3.26</v>
      </c>
      <c r="S861" s="6">
        <v>6.9</v>
      </c>
      <c r="T861" s="3"/>
    </row>
    <row r="862" spans="1:22" s="4" customFormat="1" ht="15" customHeight="1" x14ac:dyDescent="0.2">
      <c r="A862" s="4">
        <v>2013</v>
      </c>
      <c r="B862" s="4" t="s">
        <v>91</v>
      </c>
      <c r="C862" s="4">
        <v>4</v>
      </c>
      <c r="D862" s="4">
        <v>1</v>
      </c>
      <c r="E862" s="4" t="s">
        <v>7</v>
      </c>
      <c r="F862" s="4">
        <v>95</v>
      </c>
      <c r="G862" s="4">
        <v>2011</v>
      </c>
      <c r="H862" s="4" t="s">
        <v>96</v>
      </c>
      <c r="I862" s="5">
        <v>2.35</v>
      </c>
      <c r="J862" s="4">
        <v>1992</v>
      </c>
      <c r="K862" s="3">
        <v>847.65957446808511</v>
      </c>
      <c r="L862" s="3"/>
      <c r="M862" s="5">
        <v>13.53</v>
      </c>
      <c r="N862" s="5">
        <f t="shared" si="67"/>
        <v>5.7574468085106378</v>
      </c>
      <c r="O862" s="5">
        <f t="shared" si="68"/>
        <v>13.58433734939759</v>
      </c>
      <c r="P862" s="8">
        <v>41550</v>
      </c>
      <c r="Q862" s="6">
        <v>23</v>
      </c>
      <c r="R862" s="5">
        <v>3.13</v>
      </c>
      <c r="S862" s="6">
        <v>9.4</v>
      </c>
      <c r="T862" s="3"/>
    </row>
    <row r="863" spans="1:22" s="4" customFormat="1" ht="15" customHeight="1" x14ac:dyDescent="0.2">
      <c r="A863" s="4">
        <v>2013</v>
      </c>
      <c r="B863" s="4" t="s">
        <v>91</v>
      </c>
      <c r="C863" s="4">
        <v>5</v>
      </c>
      <c r="D863" s="4">
        <v>2</v>
      </c>
      <c r="E863" s="4" t="s">
        <v>7</v>
      </c>
      <c r="F863" s="4">
        <v>96</v>
      </c>
      <c r="G863" s="4">
        <v>1997</v>
      </c>
      <c r="H863" s="4" t="s">
        <v>14</v>
      </c>
      <c r="I863" s="5">
        <v>2.1800000000000002</v>
      </c>
      <c r="J863" s="3">
        <v>3000</v>
      </c>
      <c r="K863" s="3">
        <v>1376</v>
      </c>
      <c r="L863" s="3"/>
      <c r="M863" s="5">
        <v>10.74</v>
      </c>
      <c r="N863" s="5">
        <f t="shared" si="67"/>
        <v>4.9266055045871555</v>
      </c>
      <c r="O863" s="5">
        <f t="shared" si="68"/>
        <v>7.16</v>
      </c>
      <c r="P863" s="26">
        <v>41545</v>
      </c>
      <c r="Q863" s="6">
        <v>22.2</v>
      </c>
      <c r="R863" s="5">
        <v>3.23</v>
      </c>
      <c r="S863" s="6">
        <v>5.2</v>
      </c>
      <c r="T863" s="3"/>
    </row>
    <row r="864" spans="1:22" s="4" customFormat="1" ht="15" customHeight="1" x14ac:dyDescent="0.2">
      <c r="A864" s="4">
        <v>2013</v>
      </c>
      <c r="B864" s="4" t="s">
        <v>91</v>
      </c>
      <c r="C864" s="4">
        <v>5</v>
      </c>
      <c r="D864" s="4">
        <v>4</v>
      </c>
      <c r="E864" s="4" t="s">
        <v>7</v>
      </c>
      <c r="F864" s="4">
        <v>809</v>
      </c>
      <c r="G864" s="4">
        <v>1997</v>
      </c>
      <c r="H864" s="4" t="s">
        <v>14</v>
      </c>
      <c r="I864" s="5">
        <v>0.73</v>
      </c>
      <c r="J864" s="3">
        <v>1000</v>
      </c>
      <c r="K864" s="3">
        <v>1370</v>
      </c>
      <c r="L864" s="3"/>
      <c r="M864" s="5">
        <v>5</v>
      </c>
      <c r="N864" s="5">
        <f t="shared" si="67"/>
        <v>6.8493150684931505</v>
      </c>
      <c r="O864" s="5">
        <f t="shared" si="68"/>
        <v>10</v>
      </c>
      <c r="P864" s="26">
        <v>41545</v>
      </c>
      <c r="Q864" s="6">
        <v>23</v>
      </c>
      <c r="R864" s="5">
        <v>3.23</v>
      </c>
      <c r="S864" s="6">
        <v>4.8</v>
      </c>
      <c r="T864" s="3"/>
    </row>
    <row r="865" spans="1:20" s="4" customFormat="1" ht="15" customHeight="1" x14ac:dyDescent="0.2">
      <c r="A865" s="4">
        <v>2013</v>
      </c>
      <c r="B865" s="4" t="s">
        <v>91</v>
      </c>
      <c r="C865" s="4">
        <v>5</v>
      </c>
      <c r="D865" s="4">
        <v>1</v>
      </c>
      <c r="E865" s="4" t="s">
        <v>7</v>
      </c>
      <c r="F865" s="4">
        <v>76</v>
      </c>
      <c r="G865" s="4">
        <v>1997</v>
      </c>
      <c r="H865" s="4" t="s">
        <v>14</v>
      </c>
      <c r="I865" s="5">
        <v>2.1800000000000002</v>
      </c>
      <c r="J865" s="3">
        <v>3000</v>
      </c>
      <c r="K865" s="3">
        <v>1376</v>
      </c>
      <c r="L865" s="3"/>
      <c r="M865" s="5">
        <v>11.45</v>
      </c>
      <c r="N865" s="5">
        <f t="shared" si="67"/>
        <v>5.2522935779816509</v>
      </c>
      <c r="O865" s="5">
        <f t="shared" si="68"/>
        <v>7.6333333333333337</v>
      </c>
      <c r="P865" s="26">
        <v>41545</v>
      </c>
      <c r="Q865" s="6">
        <v>22.2</v>
      </c>
      <c r="R865" s="5">
        <v>3.23</v>
      </c>
      <c r="S865" s="6">
        <v>6.2</v>
      </c>
      <c r="T865" s="3"/>
    </row>
    <row r="866" spans="1:20" s="4" customFormat="1" ht="15" customHeight="1" x14ac:dyDescent="0.2">
      <c r="A866" s="4">
        <v>2013</v>
      </c>
      <c r="B866" s="4" t="s">
        <v>91</v>
      </c>
      <c r="C866" s="4">
        <v>5</v>
      </c>
      <c r="D866" s="4">
        <v>3</v>
      </c>
      <c r="E866" s="4" t="s">
        <v>7</v>
      </c>
      <c r="F866" s="4">
        <v>277</v>
      </c>
      <c r="G866" s="4">
        <v>1997</v>
      </c>
      <c r="H866" s="4" t="s">
        <v>14</v>
      </c>
      <c r="I866" s="5">
        <v>2.1800000000000002</v>
      </c>
      <c r="J866" s="3">
        <v>3000</v>
      </c>
      <c r="K866" s="3">
        <v>1376</v>
      </c>
      <c r="L866" s="3"/>
      <c r="M866" s="5">
        <v>9.11</v>
      </c>
      <c r="N866" s="5">
        <f t="shared" si="67"/>
        <v>4.1788990825688064</v>
      </c>
      <c r="O866" s="5">
        <f t="shared" si="68"/>
        <v>6.0733333333333333</v>
      </c>
      <c r="P866" s="26">
        <v>41545</v>
      </c>
      <c r="Q866" s="6">
        <v>23</v>
      </c>
      <c r="R866" s="5">
        <v>3.23</v>
      </c>
      <c r="S866" s="6">
        <v>6.2</v>
      </c>
      <c r="T866" s="3"/>
    </row>
    <row r="867" spans="1:20" s="4" customFormat="1" ht="15" customHeight="1" x14ac:dyDescent="0.2">
      <c r="A867" s="4">
        <v>2013</v>
      </c>
      <c r="B867" s="4" t="s">
        <v>97</v>
      </c>
      <c r="C867" s="4">
        <v>3</v>
      </c>
      <c r="D867" s="4">
        <v>3</v>
      </c>
      <c r="E867" s="4" t="s">
        <v>16</v>
      </c>
      <c r="F867" s="4">
        <v>76</v>
      </c>
      <c r="G867" s="4">
        <v>2006</v>
      </c>
      <c r="H867" s="4" t="s">
        <v>34</v>
      </c>
      <c r="I867" s="5">
        <v>3.29</v>
      </c>
      <c r="J867" s="3">
        <v>1266</v>
      </c>
      <c r="K867" s="3">
        <v>1565</v>
      </c>
      <c r="L867" s="3"/>
      <c r="M867" s="5">
        <v>22.68</v>
      </c>
      <c r="N867" s="5">
        <f t="shared" si="67"/>
        <v>6.8936170212765955</v>
      </c>
      <c r="O867" s="5">
        <f t="shared" si="68"/>
        <v>35.829383886255926</v>
      </c>
      <c r="P867" s="8">
        <v>41564</v>
      </c>
      <c r="Q867" s="6">
        <v>20</v>
      </c>
      <c r="R867" s="5">
        <v>3.41</v>
      </c>
      <c r="S867" s="6">
        <v>6.2</v>
      </c>
      <c r="T867" s="3"/>
    </row>
    <row r="868" spans="1:20" s="4" customFormat="1" ht="15" customHeight="1" x14ac:dyDescent="0.2">
      <c r="A868" s="4">
        <v>2013</v>
      </c>
      <c r="B868" s="4" t="s">
        <v>91</v>
      </c>
      <c r="C868" s="4">
        <v>1</v>
      </c>
      <c r="D868" s="4">
        <v>7</v>
      </c>
      <c r="E868" s="4" t="s">
        <v>16</v>
      </c>
      <c r="F868" s="4" t="s">
        <v>9</v>
      </c>
      <c r="G868" s="4" t="s">
        <v>17</v>
      </c>
      <c r="H868" s="4" t="s">
        <v>18</v>
      </c>
      <c r="I868" s="5">
        <v>2.86</v>
      </c>
      <c r="J868" s="4">
        <v>2114</v>
      </c>
      <c r="K868" s="3">
        <v>698</v>
      </c>
      <c r="L868" s="3"/>
      <c r="M868" s="5">
        <v>23.12</v>
      </c>
      <c r="N868" s="5">
        <f t="shared" si="67"/>
        <v>8.0839160839160851</v>
      </c>
      <c r="O868" s="5">
        <f t="shared" si="68"/>
        <v>21.873226111636708</v>
      </c>
      <c r="P868" s="26">
        <v>41563</v>
      </c>
      <c r="Q868" s="6">
        <v>21</v>
      </c>
      <c r="R868" s="5">
        <v>3.52</v>
      </c>
      <c r="S868" s="6">
        <v>5.8</v>
      </c>
      <c r="T868" s="3"/>
    </row>
    <row r="869" spans="1:20" s="4" customFormat="1" ht="15" customHeight="1" x14ac:dyDescent="0.2">
      <c r="A869" s="4">
        <v>2013</v>
      </c>
      <c r="B869" s="4" t="s">
        <v>91</v>
      </c>
      <c r="C869" s="4">
        <v>2</v>
      </c>
      <c r="D869" s="4">
        <v>3</v>
      </c>
      <c r="E869" s="4" t="s">
        <v>16</v>
      </c>
      <c r="F869" s="4" t="s">
        <v>9</v>
      </c>
      <c r="G869" s="4" t="s">
        <v>17</v>
      </c>
      <c r="H869" s="4" t="s">
        <v>18</v>
      </c>
      <c r="I869" s="5">
        <v>2.4500000000000002</v>
      </c>
      <c r="J869" s="3">
        <v>1590</v>
      </c>
      <c r="K869" s="3">
        <v>698</v>
      </c>
      <c r="L869" s="3"/>
      <c r="M869" s="5">
        <v>2.14</v>
      </c>
      <c r="N869" s="5">
        <f t="shared" si="67"/>
        <v>0.87346938775510208</v>
      </c>
      <c r="O869" s="5">
        <f t="shared" si="68"/>
        <v>2.691823899371069</v>
      </c>
      <c r="P869" s="8">
        <v>41563</v>
      </c>
      <c r="Q869" s="6">
        <v>20.5</v>
      </c>
      <c r="R869" s="5">
        <v>3.32</v>
      </c>
      <c r="S869" s="6">
        <v>5.2</v>
      </c>
      <c r="T869" s="3"/>
    </row>
    <row r="870" spans="1:20" s="4" customFormat="1" ht="15" customHeight="1" x14ac:dyDescent="0.2">
      <c r="A870" s="4">
        <v>2013</v>
      </c>
      <c r="B870" s="4" t="s">
        <v>91</v>
      </c>
      <c r="C870" s="4">
        <v>2</v>
      </c>
      <c r="D870" s="4">
        <v>3</v>
      </c>
      <c r="E870" s="4" t="s">
        <v>16</v>
      </c>
      <c r="F870" s="4">
        <v>339</v>
      </c>
      <c r="G870" s="4">
        <v>1997</v>
      </c>
      <c r="H870" s="4" t="s">
        <v>113</v>
      </c>
      <c r="I870" s="5">
        <v>7.0000000000000007E-2</v>
      </c>
      <c r="J870" s="3">
        <v>208</v>
      </c>
      <c r="K870" s="3">
        <v>2971.4285714285711</v>
      </c>
      <c r="L870" s="3"/>
      <c r="M870" s="5">
        <v>6.5</v>
      </c>
      <c r="N870" s="5">
        <f t="shared" si="67"/>
        <v>92.857142857142847</v>
      </c>
      <c r="O870" s="5">
        <f t="shared" si="68"/>
        <v>62.5</v>
      </c>
      <c r="P870" s="8">
        <v>41564</v>
      </c>
      <c r="Q870" s="6">
        <v>20.5</v>
      </c>
      <c r="R870" s="5">
        <v>3.32</v>
      </c>
      <c r="S870" s="6">
        <v>5.2</v>
      </c>
      <c r="T870" s="3"/>
    </row>
    <row r="871" spans="1:20" s="4" customFormat="1" ht="15" customHeight="1" x14ac:dyDescent="0.2">
      <c r="A871" s="4">
        <v>2013</v>
      </c>
      <c r="B871" s="4" t="s">
        <v>97</v>
      </c>
      <c r="C871" s="4">
        <v>1</v>
      </c>
      <c r="D871" s="4">
        <v>3</v>
      </c>
      <c r="E871" s="4" t="s">
        <v>20</v>
      </c>
      <c r="F871" s="4">
        <v>220</v>
      </c>
      <c r="G871" s="4">
        <v>2006</v>
      </c>
      <c r="H871" s="4" t="s">
        <v>34</v>
      </c>
      <c r="I871" s="5">
        <v>5.04</v>
      </c>
      <c r="J871" s="4">
        <v>8946</v>
      </c>
      <c r="K871" s="3">
        <v>1775</v>
      </c>
      <c r="L871" s="3"/>
      <c r="M871" s="5">
        <v>27.94</v>
      </c>
      <c r="N871" s="5">
        <f t="shared" si="67"/>
        <v>5.5436507936507935</v>
      </c>
      <c r="O871" s="5">
        <f t="shared" si="68"/>
        <v>6.2463670914375138</v>
      </c>
      <c r="P871" s="8">
        <v>41564</v>
      </c>
      <c r="Q871" s="6">
        <v>23</v>
      </c>
      <c r="R871" s="5">
        <v>3.27</v>
      </c>
      <c r="S871" s="6">
        <v>8.1</v>
      </c>
      <c r="T871" s="3"/>
    </row>
    <row r="872" spans="1:20" s="4" customFormat="1" ht="15" customHeight="1" x14ac:dyDescent="0.2">
      <c r="A872" s="4">
        <v>2013</v>
      </c>
      <c r="B872" s="4" t="s">
        <v>115</v>
      </c>
      <c r="C872" s="4">
        <v>1</v>
      </c>
      <c r="D872" s="4">
        <v>3</v>
      </c>
      <c r="E872" s="4" t="s">
        <v>20</v>
      </c>
      <c r="F872" s="4">
        <v>220</v>
      </c>
      <c r="G872" s="4">
        <v>2006</v>
      </c>
      <c r="H872" s="4" t="s">
        <v>34</v>
      </c>
      <c r="I872" s="5">
        <v>5.04</v>
      </c>
      <c r="J872" s="4">
        <v>8946</v>
      </c>
      <c r="K872" s="3">
        <v>1775</v>
      </c>
      <c r="L872" s="3"/>
      <c r="M872" s="4">
        <v>14.07</v>
      </c>
      <c r="N872" s="5">
        <f t="shared" si="67"/>
        <v>2.7916666666666665</v>
      </c>
      <c r="O872" s="5">
        <f t="shared" si="68"/>
        <v>3.1455399061032865</v>
      </c>
      <c r="P872" s="8">
        <v>41549</v>
      </c>
      <c r="Q872" s="6">
        <v>23</v>
      </c>
      <c r="R872" s="5">
        <v>3.27</v>
      </c>
      <c r="S872" s="6">
        <v>8.1</v>
      </c>
      <c r="T872" s="3"/>
    </row>
    <row r="873" spans="1:20" s="4" customFormat="1" ht="15" customHeight="1" x14ac:dyDescent="0.2">
      <c r="A873" s="4">
        <v>2013</v>
      </c>
      <c r="B873" s="4" t="s">
        <v>91</v>
      </c>
      <c r="C873" s="4">
        <v>2</v>
      </c>
      <c r="D873" s="4">
        <v>6</v>
      </c>
      <c r="E873" s="4" t="s">
        <v>20</v>
      </c>
      <c r="F873" s="4">
        <v>220</v>
      </c>
      <c r="G873" s="4">
        <v>1997</v>
      </c>
      <c r="H873" s="4" t="s">
        <v>14</v>
      </c>
      <c r="I873" s="5">
        <v>4.72</v>
      </c>
      <c r="J873" s="4">
        <v>6500</v>
      </c>
      <c r="K873" s="3">
        <v>1377</v>
      </c>
      <c r="L873" s="3"/>
      <c r="M873" s="5">
        <v>23.62</v>
      </c>
      <c r="N873" s="5">
        <f t="shared" si="67"/>
        <v>5.0042372881355934</v>
      </c>
      <c r="O873" s="5">
        <f t="shared" si="68"/>
        <v>7.2676923076923075</v>
      </c>
      <c r="P873" s="8">
        <v>41565</v>
      </c>
      <c r="Q873" s="6">
        <v>23</v>
      </c>
      <c r="R873" s="5">
        <v>2.96</v>
      </c>
      <c r="S873" s="6">
        <v>9.6</v>
      </c>
      <c r="T873" s="3"/>
    </row>
    <row r="874" spans="1:20" s="4" customFormat="1" ht="15" customHeight="1" x14ac:dyDescent="0.2">
      <c r="A874" s="4">
        <v>2013</v>
      </c>
      <c r="B874" s="4" t="s">
        <v>97</v>
      </c>
      <c r="C874" s="4">
        <v>1</v>
      </c>
      <c r="D874" s="4">
        <v>2</v>
      </c>
      <c r="E874" s="4" t="s">
        <v>64</v>
      </c>
      <c r="F874" s="4">
        <v>667</v>
      </c>
      <c r="G874" s="4">
        <v>1977</v>
      </c>
      <c r="H874" s="4" t="s">
        <v>65</v>
      </c>
      <c r="I874" s="5">
        <v>2.41</v>
      </c>
      <c r="J874" s="4">
        <v>2500</v>
      </c>
      <c r="K874" s="3">
        <v>1184</v>
      </c>
      <c r="L874" s="3"/>
      <c r="M874" s="5">
        <v>16.68</v>
      </c>
      <c r="N874" s="5">
        <f t="shared" si="67"/>
        <v>6.9211618257261405</v>
      </c>
      <c r="O874" s="5">
        <f t="shared" si="68"/>
        <v>13.343999999999999</v>
      </c>
      <c r="P874" s="8">
        <v>41543</v>
      </c>
      <c r="Q874" s="6"/>
      <c r="R874" s="5"/>
      <c r="S874" s="6"/>
      <c r="T874" s="3"/>
    </row>
    <row r="875" spans="1:20" s="4" customFormat="1" ht="15" customHeight="1" x14ac:dyDescent="0.2">
      <c r="A875" s="4">
        <v>2013</v>
      </c>
      <c r="B875" s="4" t="s">
        <v>97</v>
      </c>
      <c r="C875" s="4">
        <v>1</v>
      </c>
      <c r="D875" s="4">
        <v>1</v>
      </c>
      <c r="E875" s="4" t="s">
        <v>64</v>
      </c>
      <c r="F875" s="4">
        <v>6</v>
      </c>
      <c r="G875" s="4">
        <v>1984</v>
      </c>
      <c r="H875" s="4" t="s">
        <v>65</v>
      </c>
      <c r="I875" s="5">
        <v>2.81</v>
      </c>
      <c r="J875" s="4">
        <v>2755</v>
      </c>
      <c r="K875" s="3">
        <v>1027</v>
      </c>
      <c r="L875" s="3"/>
      <c r="M875" s="5">
        <v>8.1199999999999992</v>
      </c>
      <c r="N875" s="5">
        <f t="shared" si="67"/>
        <v>2.8896797153024907</v>
      </c>
      <c r="O875" s="5">
        <f t="shared" si="68"/>
        <v>5.8947368421052628</v>
      </c>
      <c r="P875" s="26">
        <v>41546</v>
      </c>
      <c r="Q875" s="6"/>
      <c r="R875" s="5"/>
      <c r="S875" s="6"/>
      <c r="T875" s="3"/>
    </row>
    <row r="876" spans="1:20" s="4" customFormat="1" ht="15" customHeight="1" x14ac:dyDescent="0.2">
      <c r="A876" s="4">
        <v>2013</v>
      </c>
      <c r="B876" s="4" t="s">
        <v>97</v>
      </c>
      <c r="C876" s="4">
        <v>3</v>
      </c>
      <c r="D876" s="4">
        <v>4</v>
      </c>
      <c r="E876" s="4" t="s">
        <v>64</v>
      </c>
      <c r="G876" s="4">
        <v>1977</v>
      </c>
      <c r="H876" s="4" t="s">
        <v>66</v>
      </c>
      <c r="I876" s="4">
        <v>1.1299999999999999</v>
      </c>
      <c r="J876" s="4">
        <v>745</v>
      </c>
      <c r="K876" s="3">
        <v>659</v>
      </c>
      <c r="L876" s="3"/>
      <c r="M876" s="5">
        <v>5.65</v>
      </c>
      <c r="N876" s="5">
        <f t="shared" si="67"/>
        <v>5.0000000000000009</v>
      </c>
      <c r="O876" s="5">
        <f t="shared" si="68"/>
        <v>15.167785234899329</v>
      </c>
      <c r="P876" s="8">
        <v>41543</v>
      </c>
      <c r="Q876" s="6"/>
      <c r="R876" s="5"/>
      <c r="S876" s="6"/>
      <c r="T876" s="3"/>
    </row>
    <row r="877" spans="1:20" s="4" customFormat="1" ht="15" customHeight="1" x14ac:dyDescent="0.2">
      <c r="A877" s="4">
        <v>2013</v>
      </c>
      <c r="B877" s="4" t="s">
        <v>119</v>
      </c>
      <c r="C877" s="4" t="s">
        <v>134</v>
      </c>
      <c r="E877" s="4" t="s">
        <v>70</v>
      </c>
      <c r="I877" s="5">
        <v>10</v>
      </c>
      <c r="J877" s="3"/>
      <c r="K877" s="3"/>
      <c r="L877" s="3"/>
      <c r="M877" s="5">
        <v>59.91</v>
      </c>
      <c r="N877" s="5">
        <f t="shared" si="67"/>
        <v>5.9909999999999997</v>
      </c>
      <c r="O877" s="5"/>
      <c r="P877" s="8">
        <v>41558</v>
      </c>
      <c r="Q877" s="6">
        <v>23</v>
      </c>
      <c r="R877" s="5">
        <v>3.39</v>
      </c>
      <c r="S877" s="6">
        <v>8.4</v>
      </c>
      <c r="T877" s="3"/>
    </row>
    <row r="878" spans="1:20" s="4" customFormat="1" ht="15" customHeight="1" x14ac:dyDescent="0.2">
      <c r="A878" s="4">
        <v>2013</v>
      </c>
      <c r="B878" s="4" t="s">
        <v>120</v>
      </c>
      <c r="C878" s="4" t="s">
        <v>134</v>
      </c>
      <c r="E878" s="4" t="s">
        <v>78</v>
      </c>
      <c r="I878" s="5">
        <v>4</v>
      </c>
      <c r="K878" s="3"/>
      <c r="L878" s="3"/>
      <c r="M878" s="5">
        <v>2.4</v>
      </c>
      <c r="N878" s="5">
        <f t="shared" si="67"/>
        <v>0.6</v>
      </c>
      <c r="O878" s="5"/>
      <c r="P878" s="26">
        <v>41556</v>
      </c>
      <c r="Q878" s="6">
        <v>22</v>
      </c>
      <c r="R878" s="5">
        <v>3.3</v>
      </c>
      <c r="S878" s="6">
        <v>7.8</v>
      </c>
      <c r="T878" s="3"/>
    </row>
    <row r="879" spans="1:20" s="4" customFormat="1" ht="15" customHeight="1" x14ac:dyDescent="0.2">
      <c r="A879" s="4">
        <v>2013</v>
      </c>
      <c r="B879" s="4" t="s">
        <v>121</v>
      </c>
      <c r="C879" s="4" t="s">
        <v>134</v>
      </c>
      <c r="E879" s="4" t="s">
        <v>78</v>
      </c>
      <c r="I879" s="5">
        <v>4</v>
      </c>
      <c r="J879" s="5"/>
      <c r="K879" s="3"/>
      <c r="L879" s="3"/>
      <c r="M879" s="5">
        <v>24.55</v>
      </c>
      <c r="N879" s="5">
        <f t="shared" si="67"/>
        <v>6.1375000000000002</v>
      </c>
      <c r="O879" s="5"/>
      <c r="P879" s="8">
        <v>41566</v>
      </c>
      <c r="Q879" s="6">
        <v>23.5</v>
      </c>
      <c r="R879" s="5">
        <v>3.34</v>
      </c>
      <c r="S879" s="6">
        <v>10</v>
      </c>
      <c r="T879" s="3"/>
    </row>
    <row r="880" spans="1:20" s="4" customFormat="1" ht="15" customHeight="1" x14ac:dyDescent="0.2">
      <c r="A880" s="4">
        <v>2013</v>
      </c>
      <c r="B880" s="4" t="s">
        <v>97</v>
      </c>
      <c r="C880" s="4">
        <v>2</v>
      </c>
      <c r="D880" s="4">
        <v>3</v>
      </c>
      <c r="E880" s="4" t="s">
        <v>78</v>
      </c>
      <c r="F880" s="4">
        <v>47</v>
      </c>
      <c r="G880" s="4">
        <v>2006</v>
      </c>
      <c r="H880" s="4" t="s">
        <v>34</v>
      </c>
      <c r="I880" s="5">
        <v>0.57999999999999996</v>
      </c>
      <c r="J880" s="4">
        <v>1040</v>
      </c>
      <c r="K880" s="3">
        <v>1793</v>
      </c>
      <c r="L880" s="3"/>
      <c r="M880" s="5">
        <v>3.04</v>
      </c>
      <c r="N880" s="5">
        <f t="shared" si="67"/>
        <v>5.2413793103448283</v>
      </c>
      <c r="O880" s="5">
        <f t="shared" si="68"/>
        <v>5.8461538461538458</v>
      </c>
      <c r="P880" s="8">
        <v>41582</v>
      </c>
      <c r="Q880" s="6">
        <v>22.5</v>
      </c>
      <c r="R880" s="5">
        <v>3.29</v>
      </c>
      <c r="S880" s="6">
        <v>6.1</v>
      </c>
      <c r="T880" s="3"/>
    </row>
    <row r="881" spans="1:20" s="4" customFormat="1" ht="15" customHeight="1" x14ac:dyDescent="0.2">
      <c r="A881" s="4">
        <v>2013</v>
      </c>
      <c r="B881" s="4" t="s">
        <v>122</v>
      </c>
      <c r="C881" s="4">
        <v>1</v>
      </c>
      <c r="D881" s="4" t="s">
        <v>133</v>
      </c>
      <c r="E881" s="4" t="s">
        <v>78</v>
      </c>
      <c r="F881" s="4">
        <v>643</v>
      </c>
      <c r="G881" s="4">
        <v>2008</v>
      </c>
      <c r="H881" s="4" t="s">
        <v>76</v>
      </c>
      <c r="I881" s="5">
        <v>7.3900000000000006</v>
      </c>
      <c r="J881" s="4">
        <v>12550</v>
      </c>
      <c r="K881" s="3">
        <v>1698.2408660351825</v>
      </c>
      <c r="L881" s="3"/>
      <c r="M881" s="5">
        <v>51.91</v>
      </c>
      <c r="N881" s="5">
        <f t="shared" si="67"/>
        <v>7.0243572395128542</v>
      </c>
      <c r="O881" s="5">
        <f t="shared" si="68"/>
        <v>8.272509960159363</v>
      </c>
      <c r="P881" s="8">
        <v>41552</v>
      </c>
      <c r="Q881" s="6">
        <v>23</v>
      </c>
      <c r="R881" s="5">
        <v>3.45</v>
      </c>
      <c r="S881" s="6">
        <v>5.2</v>
      </c>
      <c r="T881" s="3"/>
    </row>
    <row r="882" spans="1:20" s="4" customFormat="1" ht="15" customHeight="1" x14ac:dyDescent="0.2">
      <c r="A882" s="4">
        <v>2013</v>
      </c>
      <c r="B882" s="4" t="s">
        <v>117</v>
      </c>
      <c r="C882" s="4">
        <v>1</v>
      </c>
      <c r="D882" s="8" t="s">
        <v>164</v>
      </c>
      <c r="E882" s="4" t="s">
        <v>78</v>
      </c>
      <c r="F882" s="4" t="s">
        <v>63</v>
      </c>
      <c r="G882" s="4">
        <v>2006</v>
      </c>
      <c r="H882" s="4" t="s">
        <v>34</v>
      </c>
      <c r="I882" s="5">
        <v>9.11</v>
      </c>
      <c r="J882" s="3">
        <v>17000</v>
      </c>
      <c r="K882" s="3">
        <v>1866.0812294182219</v>
      </c>
      <c r="L882" s="3"/>
      <c r="M882" s="5">
        <v>21</v>
      </c>
      <c r="N882" s="5">
        <f t="shared" si="67"/>
        <v>2.3051591657519213</v>
      </c>
      <c r="O882" s="5">
        <f t="shared" si="68"/>
        <v>2.4705882352941178</v>
      </c>
      <c r="P882" s="26">
        <v>41553</v>
      </c>
      <c r="Q882" s="6">
        <v>23</v>
      </c>
      <c r="R882" s="5">
        <v>3.13</v>
      </c>
      <c r="S882" s="6">
        <v>6.1</v>
      </c>
      <c r="T882" s="3"/>
    </row>
    <row r="883" spans="1:20" s="4" customFormat="1" ht="15" customHeight="1" x14ac:dyDescent="0.2">
      <c r="A883" s="4">
        <v>2013</v>
      </c>
      <c r="B883" s="4" t="s">
        <v>160</v>
      </c>
      <c r="C883" s="4" t="s">
        <v>134</v>
      </c>
      <c r="E883" s="4" t="s">
        <v>78</v>
      </c>
      <c r="I883" s="5">
        <v>4</v>
      </c>
      <c r="J883" s="3"/>
      <c r="K883" s="3"/>
      <c r="L883" s="3"/>
      <c r="M883" s="5">
        <v>55.72</v>
      </c>
      <c r="N883" s="5">
        <f t="shared" si="67"/>
        <v>13.93</v>
      </c>
      <c r="O883" s="5"/>
      <c r="P883" s="26">
        <v>41541</v>
      </c>
      <c r="Q883" s="6">
        <v>23.2</v>
      </c>
      <c r="R883" s="5">
        <v>3.46</v>
      </c>
      <c r="S883" s="6">
        <v>4.7300000000000004</v>
      </c>
      <c r="T883" s="3"/>
    </row>
    <row r="884" spans="1:20" s="4" customFormat="1" ht="15" customHeight="1" x14ac:dyDescent="0.2">
      <c r="A884" s="4">
        <v>2013</v>
      </c>
      <c r="B884" s="4" t="s">
        <v>91</v>
      </c>
      <c r="C884" s="4">
        <v>5</v>
      </c>
      <c r="D884" s="4" t="s">
        <v>154</v>
      </c>
      <c r="E884" s="4" t="s">
        <v>78</v>
      </c>
      <c r="F884" s="4" t="s">
        <v>9</v>
      </c>
      <c r="G884" s="4" t="s">
        <v>21</v>
      </c>
      <c r="H884" s="4" t="s">
        <v>22</v>
      </c>
      <c r="I884" s="5">
        <v>1.78</v>
      </c>
      <c r="J884" s="4">
        <v>2158</v>
      </c>
      <c r="K884" s="3">
        <v>1212</v>
      </c>
      <c r="L884" s="3"/>
      <c r="M884" s="5">
        <v>8.3699999999999992</v>
      </c>
      <c r="N884" s="5">
        <f t="shared" si="67"/>
        <v>4.7022471910112351</v>
      </c>
      <c r="O884" s="5">
        <f t="shared" si="68"/>
        <v>7.7571825764596847</v>
      </c>
      <c r="P884" s="8">
        <v>41547</v>
      </c>
      <c r="Q884" s="6">
        <v>22.5</v>
      </c>
      <c r="R884" s="5">
        <v>3.29</v>
      </c>
      <c r="S884" s="6">
        <v>6.1</v>
      </c>
      <c r="T884" s="3"/>
    </row>
    <row r="885" spans="1:20" s="4" customFormat="1" ht="15" customHeight="1" x14ac:dyDescent="0.2">
      <c r="A885" s="4">
        <v>2013</v>
      </c>
      <c r="B885" s="4" t="s">
        <v>162</v>
      </c>
      <c r="C885" s="4" t="s">
        <v>134</v>
      </c>
      <c r="E885" s="4" t="s">
        <v>78</v>
      </c>
      <c r="I885" s="5">
        <v>2</v>
      </c>
      <c r="K885" s="3"/>
      <c r="L885" s="3"/>
      <c r="M885" s="5">
        <v>14.49</v>
      </c>
      <c r="N885" s="5">
        <f t="shared" si="67"/>
        <v>7.2450000000000001</v>
      </c>
      <c r="O885" s="5"/>
      <c r="P885" s="8">
        <v>41559</v>
      </c>
      <c r="Q885" s="6">
        <v>25</v>
      </c>
      <c r="R885" s="5">
        <v>3.7</v>
      </c>
      <c r="S885" s="6">
        <v>4.2</v>
      </c>
      <c r="T885" s="3"/>
    </row>
    <row r="886" spans="1:20" s="4" customFormat="1" ht="15" customHeight="1" x14ac:dyDescent="0.2">
      <c r="A886" s="4">
        <v>2013</v>
      </c>
      <c r="B886" s="4" t="s">
        <v>118</v>
      </c>
      <c r="C886" s="4" t="s">
        <v>134</v>
      </c>
      <c r="E886" s="4" t="s">
        <v>78</v>
      </c>
      <c r="I886" s="5">
        <v>2</v>
      </c>
      <c r="K886" s="3"/>
      <c r="L886" s="3"/>
      <c r="M886" s="5">
        <v>5.38</v>
      </c>
      <c r="N886" s="5">
        <f t="shared" si="67"/>
        <v>2.69</v>
      </c>
      <c r="O886" s="5"/>
      <c r="P886" s="8">
        <v>41548</v>
      </c>
      <c r="Q886" s="6">
        <v>22.5</v>
      </c>
      <c r="R886" s="5">
        <v>3.59</v>
      </c>
      <c r="S886" s="6">
        <v>5.8</v>
      </c>
      <c r="T886" s="3"/>
    </row>
    <row r="887" spans="1:20" s="4" customFormat="1" ht="15" customHeight="1" x14ac:dyDescent="0.2">
      <c r="A887" s="4">
        <v>2013</v>
      </c>
      <c r="B887" s="4" t="s">
        <v>115</v>
      </c>
      <c r="C887" s="4">
        <v>1</v>
      </c>
      <c r="D887" s="4">
        <v>1</v>
      </c>
      <c r="E887" s="4" t="s">
        <v>114</v>
      </c>
      <c r="F887" s="4" t="s">
        <v>36</v>
      </c>
      <c r="G887" s="4">
        <v>2006</v>
      </c>
      <c r="H887" s="4" t="s">
        <v>61</v>
      </c>
      <c r="I887" s="5">
        <v>13.45</v>
      </c>
      <c r="J887" s="4">
        <v>8326</v>
      </c>
      <c r="K887" s="3">
        <v>1500</v>
      </c>
      <c r="L887" s="3"/>
      <c r="M887" s="5">
        <v>58.55</v>
      </c>
      <c r="N887" s="5">
        <f>M887/I887</f>
        <v>4.3531598513011156</v>
      </c>
      <c r="O887" s="5">
        <f t="shared" si="68"/>
        <v>14.064376651453278</v>
      </c>
      <c r="P887" s="8">
        <v>41548</v>
      </c>
      <c r="Q887" s="6">
        <v>26</v>
      </c>
      <c r="R887" s="5">
        <v>3.7</v>
      </c>
      <c r="S887" s="6">
        <v>5.6</v>
      </c>
      <c r="T887" s="3"/>
    </row>
    <row r="888" spans="1:20" s="4" customFormat="1" ht="15" customHeight="1" x14ac:dyDescent="0.2">
      <c r="A888" s="4">
        <v>2013</v>
      </c>
      <c r="B888" s="4" t="s">
        <v>91</v>
      </c>
      <c r="C888" s="4">
        <v>3</v>
      </c>
      <c r="D888" s="4">
        <v>2</v>
      </c>
      <c r="E888" s="4" t="s">
        <v>114</v>
      </c>
      <c r="F888" s="4">
        <v>339</v>
      </c>
      <c r="G888" s="4">
        <v>1997</v>
      </c>
      <c r="H888" s="4" t="s">
        <v>113</v>
      </c>
      <c r="I888" s="5">
        <v>1.1000000000000001</v>
      </c>
      <c r="J888" s="3">
        <v>780</v>
      </c>
      <c r="K888" s="3">
        <v>2971.4285714285711</v>
      </c>
      <c r="L888" s="3">
        <v>125</v>
      </c>
      <c r="M888" s="5">
        <v>4.45</v>
      </c>
      <c r="N888" s="5">
        <f t="shared" si="67"/>
        <v>4.045454545454545</v>
      </c>
      <c r="O888" s="5">
        <f t="shared" si="68"/>
        <v>11.410256410256411</v>
      </c>
      <c r="P888" s="26">
        <v>41537</v>
      </c>
      <c r="Q888" s="6">
        <v>27</v>
      </c>
      <c r="R888" s="5">
        <v>3.61</v>
      </c>
      <c r="S888" s="6">
        <v>10.5</v>
      </c>
      <c r="T888" s="3"/>
    </row>
    <row r="889" spans="1:20" s="4" customFormat="1" ht="15" customHeight="1" x14ac:dyDescent="0.2">
      <c r="A889" s="4">
        <v>2013</v>
      </c>
      <c r="B889" s="4" t="s">
        <v>91</v>
      </c>
      <c r="C889" s="4">
        <v>4</v>
      </c>
      <c r="D889" s="4">
        <v>4</v>
      </c>
      <c r="E889" s="4" t="s">
        <v>114</v>
      </c>
      <c r="F889" s="4" t="s">
        <v>36</v>
      </c>
      <c r="G889" s="4">
        <v>1965</v>
      </c>
      <c r="H889" s="4" t="s">
        <v>37</v>
      </c>
      <c r="I889" s="5">
        <v>0.83</v>
      </c>
      <c r="J889" s="3">
        <v>550</v>
      </c>
      <c r="K889" s="3">
        <v>343.75</v>
      </c>
      <c r="L889" s="3"/>
      <c r="M889" s="5">
        <v>4.0599999999999996</v>
      </c>
      <c r="N889" s="5">
        <f t="shared" si="67"/>
        <v>4.8915662650602405</v>
      </c>
      <c r="O889" s="5">
        <f t="shared" si="68"/>
        <v>14.763636363636362</v>
      </c>
      <c r="P889" s="26">
        <v>41537</v>
      </c>
      <c r="Q889" s="6">
        <v>27</v>
      </c>
      <c r="R889" s="5">
        <v>3.61</v>
      </c>
      <c r="S889" s="6">
        <v>10.5</v>
      </c>
      <c r="T889" s="3"/>
    </row>
    <row r="890" spans="1:20" s="4" customFormat="1" ht="15" customHeight="1" x14ac:dyDescent="0.2">
      <c r="A890" s="4">
        <v>2013</v>
      </c>
      <c r="B890" s="4" t="s">
        <v>91</v>
      </c>
      <c r="C890" s="4">
        <v>1</v>
      </c>
      <c r="D890" s="4">
        <v>1</v>
      </c>
      <c r="E890" s="4" t="s">
        <v>38</v>
      </c>
      <c r="F890" s="4" t="s">
        <v>39</v>
      </c>
      <c r="G890" s="4">
        <v>1997</v>
      </c>
      <c r="H890" s="4" t="s">
        <v>40</v>
      </c>
      <c r="I890" s="5">
        <v>0.66</v>
      </c>
      <c r="J890" s="3">
        <v>1515</v>
      </c>
      <c r="K890" s="3">
        <v>2295.4545454545455</v>
      </c>
      <c r="L890" s="3"/>
      <c r="M890" s="5">
        <v>3.36</v>
      </c>
      <c r="N890" s="5">
        <f t="shared" si="67"/>
        <v>5.0909090909090908</v>
      </c>
      <c r="O890" s="5">
        <f t="shared" si="68"/>
        <v>4.435643564356436</v>
      </c>
      <c r="P890" s="26">
        <v>41562</v>
      </c>
      <c r="Q890" s="6">
        <v>25</v>
      </c>
      <c r="R890" s="5">
        <v>3.23</v>
      </c>
      <c r="S890" s="6">
        <v>6.4</v>
      </c>
      <c r="T890" s="3"/>
    </row>
    <row r="891" spans="1:20" s="4" customFormat="1" ht="15" customHeight="1" x14ac:dyDescent="0.2">
      <c r="A891" s="4">
        <v>2013</v>
      </c>
      <c r="B891" s="4" t="s">
        <v>91</v>
      </c>
      <c r="C891" s="4">
        <v>2</v>
      </c>
      <c r="D891" s="4">
        <v>9</v>
      </c>
      <c r="E891" s="4" t="s">
        <v>38</v>
      </c>
      <c r="F891" s="4">
        <v>509</v>
      </c>
      <c r="G891" s="4">
        <v>1998</v>
      </c>
      <c r="H891" s="4" t="s">
        <v>14</v>
      </c>
      <c r="I891" s="5">
        <v>0.91</v>
      </c>
      <c r="J891" s="3">
        <v>1257</v>
      </c>
      <c r="K891" s="3">
        <v>1381.3186813186812</v>
      </c>
      <c r="L891" s="3"/>
      <c r="M891" s="5">
        <v>2.7</v>
      </c>
      <c r="N891" s="5">
        <f t="shared" si="67"/>
        <v>2.9670329670329672</v>
      </c>
      <c r="O891" s="5">
        <f t="shared" si="68"/>
        <v>4.2959427207637235</v>
      </c>
      <c r="P891" s="26">
        <v>41562</v>
      </c>
      <c r="Q891" s="6">
        <v>25.5</v>
      </c>
      <c r="R891" s="5">
        <v>3.48</v>
      </c>
      <c r="S891" s="6">
        <v>5.8</v>
      </c>
      <c r="T891" s="3"/>
    </row>
    <row r="892" spans="1:20" s="4" customFormat="1" ht="15" customHeight="1" x14ac:dyDescent="0.2">
      <c r="A892" s="4">
        <v>2013</v>
      </c>
      <c r="B892" s="4" t="s">
        <v>91</v>
      </c>
      <c r="C892" s="4">
        <v>2</v>
      </c>
      <c r="D892" s="4">
        <v>8</v>
      </c>
      <c r="E892" s="4" t="s">
        <v>38</v>
      </c>
      <c r="F892" s="4">
        <v>346</v>
      </c>
      <c r="G892" s="4">
        <v>1998</v>
      </c>
      <c r="H892" s="4" t="s">
        <v>14</v>
      </c>
      <c r="I892" s="5">
        <v>1.1599999999999999</v>
      </c>
      <c r="J892" s="3">
        <v>1600</v>
      </c>
      <c r="K892" s="3">
        <v>1379.3103448275863</v>
      </c>
      <c r="L892" s="3"/>
      <c r="M892" s="5">
        <v>3.21</v>
      </c>
      <c r="N892" s="5">
        <f t="shared" si="67"/>
        <v>2.7672413793103452</v>
      </c>
      <c r="O892" s="5">
        <f t="shared" si="68"/>
        <v>4.0125000000000002</v>
      </c>
      <c r="P892" s="8">
        <v>41562</v>
      </c>
      <c r="Q892" s="6">
        <v>25.5</v>
      </c>
      <c r="R892" s="5">
        <v>3.48</v>
      </c>
      <c r="S892" s="6">
        <v>5.8</v>
      </c>
      <c r="T892" s="3"/>
    </row>
    <row r="893" spans="1:20" s="4" customFormat="1" ht="15" customHeight="1" x14ac:dyDescent="0.2">
      <c r="A893" s="4">
        <v>2013</v>
      </c>
      <c r="B893" s="4" t="s">
        <v>91</v>
      </c>
      <c r="C893" s="4">
        <v>2</v>
      </c>
      <c r="D893" s="4">
        <v>2</v>
      </c>
      <c r="E893" s="4" t="s">
        <v>38</v>
      </c>
      <c r="F893" s="4">
        <v>181</v>
      </c>
      <c r="G893" s="4">
        <v>1998</v>
      </c>
      <c r="H893" s="4" t="s">
        <v>41</v>
      </c>
      <c r="I893" s="5">
        <v>3.27</v>
      </c>
      <c r="J893" s="4">
        <v>4500</v>
      </c>
      <c r="K893" s="3">
        <v>1376.1467889908256</v>
      </c>
      <c r="L893" s="3"/>
      <c r="M893" s="5">
        <v>13.42</v>
      </c>
      <c r="N893" s="5">
        <f t="shared" si="67"/>
        <v>4.1039755351681952</v>
      </c>
      <c r="O893" s="5">
        <f t="shared" si="68"/>
        <v>5.9644444444444442</v>
      </c>
      <c r="P893" s="8">
        <v>41550</v>
      </c>
      <c r="Q893" s="6">
        <v>25</v>
      </c>
      <c r="R893" s="5">
        <v>3.31</v>
      </c>
      <c r="S893" s="6">
        <v>4.8</v>
      </c>
      <c r="T893" s="3"/>
    </row>
    <row r="894" spans="1:20" s="4" customFormat="1" ht="15" customHeight="1" x14ac:dyDescent="0.2">
      <c r="A894" s="4">
        <v>2013</v>
      </c>
      <c r="B894" s="4" t="s">
        <v>91</v>
      </c>
      <c r="C894" s="4">
        <v>2</v>
      </c>
      <c r="D894" s="4">
        <v>7</v>
      </c>
      <c r="E894" s="4" t="s">
        <v>38</v>
      </c>
      <c r="F894" s="4">
        <v>347</v>
      </c>
      <c r="G894" s="4">
        <v>1998</v>
      </c>
      <c r="H894" s="4" t="s">
        <v>14</v>
      </c>
      <c r="I894" s="5">
        <v>3.27</v>
      </c>
      <c r="J894" s="3">
        <v>4500</v>
      </c>
      <c r="K894" s="3">
        <v>1376.1467889908256</v>
      </c>
      <c r="L894" s="3"/>
      <c r="M894" s="5">
        <v>10.86</v>
      </c>
      <c r="N894" s="5">
        <f t="shared" si="67"/>
        <v>3.3211009174311923</v>
      </c>
      <c r="O894" s="5">
        <f t="shared" si="68"/>
        <v>4.8266666666666671</v>
      </c>
      <c r="P894" s="8">
        <v>41562</v>
      </c>
      <c r="Q894" s="6">
        <v>25.3</v>
      </c>
      <c r="R894" s="5">
        <v>3.38</v>
      </c>
      <c r="S894" s="6">
        <v>5.9</v>
      </c>
      <c r="T894" s="3"/>
    </row>
    <row r="895" spans="1:20" s="4" customFormat="1" ht="15" customHeight="1" x14ac:dyDescent="0.2">
      <c r="A895" s="4">
        <v>2013</v>
      </c>
      <c r="B895" s="4" t="s">
        <v>91</v>
      </c>
      <c r="C895" s="4">
        <v>6</v>
      </c>
      <c r="D895" s="4" t="s">
        <v>153</v>
      </c>
      <c r="E895" s="4" t="s">
        <v>38</v>
      </c>
      <c r="F895" s="4">
        <v>181</v>
      </c>
      <c r="G895" s="4">
        <v>2003</v>
      </c>
      <c r="H895" s="4" t="s">
        <v>34</v>
      </c>
      <c r="I895" s="5">
        <v>4.4000000000000004</v>
      </c>
      <c r="J895" s="3">
        <v>8263</v>
      </c>
      <c r="K895" s="3">
        <v>1877</v>
      </c>
      <c r="L895" s="3"/>
      <c r="M895" s="5">
        <v>19.28</v>
      </c>
      <c r="N895" s="5">
        <f t="shared" si="67"/>
        <v>4.3818181818181818</v>
      </c>
      <c r="O895" s="5">
        <f t="shared" si="68"/>
        <v>4.6665859857194727</v>
      </c>
      <c r="P895" s="26">
        <v>41562</v>
      </c>
      <c r="Q895" s="6">
        <v>25.5</v>
      </c>
      <c r="R895" s="5">
        <v>3.23</v>
      </c>
      <c r="S895" s="6">
        <v>6.4</v>
      </c>
      <c r="T895" s="3"/>
    </row>
    <row r="896" spans="1:20" s="4" customFormat="1" ht="15" customHeight="1" x14ac:dyDescent="0.2">
      <c r="A896" s="4">
        <v>2013</v>
      </c>
      <c r="B896" s="4" t="s">
        <v>91</v>
      </c>
      <c r="C896" s="4">
        <v>1</v>
      </c>
      <c r="D896" s="4">
        <v>3</v>
      </c>
      <c r="E896" s="4" t="s">
        <v>25</v>
      </c>
      <c r="F896" s="4">
        <v>7114</v>
      </c>
      <c r="G896" s="4">
        <v>1983</v>
      </c>
      <c r="H896" s="4" t="s">
        <v>98</v>
      </c>
      <c r="I896" s="5">
        <v>4.4800000000000004</v>
      </c>
      <c r="J896" s="4">
        <v>4833</v>
      </c>
      <c r="K896" s="3">
        <v>1078.7946428571427</v>
      </c>
      <c r="L896" s="3"/>
      <c r="M896" s="5">
        <v>7.02</v>
      </c>
      <c r="N896" s="5">
        <f t="shared" si="67"/>
        <v>1.5669642857142854</v>
      </c>
      <c r="O896" s="5">
        <f t="shared" si="68"/>
        <v>2.9050279329608939</v>
      </c>
      <c r="P896" s="26">
        <v>41541</v>
      </c>
      <c r="Q896" s="6">
        <v>37.6</v>
      </c>
      <c r="R896" s="5">
        <v>3.23</v>
      </c>
      <c r="S896" s="6">
        <v>15.37</v>
      </c>
      <c r="T896" s="3"/>
    </row>
    <row r="897" spans="1:20" s="4" customFormat="1" ht="15" customHeight="1" x14ac:dyDescent="0.2">
      <c r="A897" s="4">
        <v>2013</v>
      </c>
      <c r="B897" s="4" t="s">
        <v>129</v>
      </c>
      <c r="C897" s="4" t="s">
        <v>134</v>
      </c>
      <c r="E897" s="4" t="s">
        <v>26</v>
      </c>
      <c r="I897" s="5"/>
      <c r="K897" s="3"/>
      <c r="L897" s="3"/>
      <c r="M897" s="5">
        <v>40.96</v>
      </c>
      <c r="N897" s="5"/>
      <c r="O897" s="5"/>
      <c r="P897" s="26">
        <v>41563</v>
      </c>
      <c r="Q897" s="6">
        <v>24</v>
      </c>
      <c r="R897" s="5">
        <v>3.14</v>
      </c>
      <c r="S897" s="6">
        <v>8.6</v>
      </c>
      <c r="T897" s="3"/>
    </row>
    <row r="898" spans="1:20" s="4" customFormat="1" ht="15" customHeight="1" x14ac:dyDescent="0.2">
      <c r="A898" s="4">
        <v>2013</v>
      </c>
      <c r="B898" s="4" t="s">
        <v>97</v>
      </c>
      <c r="C898" s="4">
        <v>2</v>
      </c>
      <c r="D898" s="4">
        <v>9</v>
      </c>
      <c r="E898" s="4" t="s">
        <v>26</v>
      </c>
      <c r="F898" s="4">
        <v>54</v>
      </c>
      <c r="G898" s="4">
        <v>2009</v>
      </c>
      <c r="H898" s="4" t="s">
        <v>44</v>
      </c>
      <c r="I898" s="5">
        <v>1.9</v>
      </c>
      <c r="J898" s="3">
        <v>3054</v>
      </c>
      <c r="K898" s="3">
        <v>1607</v>
      </c>
      <c r="L898" s="3">
        <v>310</v>
      </c>
      <c r="M898" s="5">
        <v>7.47</v>
      </c>
      <c r="N898" s="5">
        <f t="shared" si="67"/>
        <v>3.9315789473684211</v>
      </c>
      <c r="O898" s="5">
        <f t="shared" si="68"/>
        <v>4.8919449901768175</v>
      </c>
      <c r="P898" s="8">
        <v>41541</v>
      </c>
      <c r="Q898" s="6">
        <v>22</v>
      </c>
      <c r="R898" s="5">
        <v>3.2</v>
      </c>
      <c r="S898" s="6">
        <v>6.7</v>
      </c>
      <c r="T898" s="3"/>
    </row>
    <row r="899" spans="1:20" s="4" customFormat="1" ht="15" customHeight="1" x14ac:dyDescent="0.2">
      <c r="A899" s="4">
        <v>2013</v>
      </c>
      <c r="B899" s="4" t="s">
        <v>91</v>
      </c>
      <c r="C899" s="4">
        <v>1</v>
      </c>
      <c r="D899" s="4">
        <v>5</v>
      </c>
      <c r="E899" s="4" t="s">
        <v>26</v>
      </c>
      <c r="F899" s="4">
        <v>55</v>
      </c>
      <c r="G899" s="4">
        <v>1997</v>
      </c>
      <c r="H899" s="4" t="s">
        <v>27</v>
      </c>
      <c r="I899" s="5">
        <v>3.63</v>
      </c>
      <c r="J899" s="3">
        <v>4059</v>
      </c>
      <c r="K899" s="3">
        <v>1376</v>
      </c>
      <c r="L899" s="3"/>
      <c r="M899" s="5">
        <v>13.77</v>
      </c>
      <c r="N899" s="5">
        <f t="shared" si="67"/>
        <v>3.7933884297520661</v>
      </c>
      <c r="O899" s="5">
        <f t="shared" si="68"/>
        <v>6.7849223946784925</v>
      </c>
      <c r="P899" s="26">
        <v>41541</v>
      </c>
      <c r="Q899" s="6">
        <v>22</v>
      </c>
      <c r="R899" s="5">
        <v>3.2</v>
      </c>
      <c r="S899" s="6">
        <v>6.68</v>
      </c>
      <c r="T899" s="3"/>
    </row>
    <row r="900" spans="1:20" s="4" customFormat="1" ht="15" customHeight="1" x14ac:dyDescent="0.2">
      <c r="A900" s="4">
        <v>2013</v>
      </c>
      <c r="B900" s="4" t="s">
        <v>120</v>
      </c>
      <c r="C900" s="4" t="s">
        <v>134</v>
      </c>
      <c r="E900" s="4" t="s">
        <v>73</v>
      </c>
      <c r="I900" s="5">
        <v>4</v>
      </c>
      <c r="J900" s="3"/>
      <c r="K900" s="3"/>
      <c r="L900" s="3"/>
      <c r="M900" s="5">
        <v>16.170000000000002</v>
      </c>
      <c r="N900" s="5">
        <f t="shared" si="67"/>
        <v>4.0425000000000004</v>
      </c>
      <c r="O900" s="5"/>
      <c r="P900" s="8">
        <v>41566</v>
      </c>
      <c r="Q900" s="6">
        <v>25.5</v>
      </c>
      <c r="R900" s="5">
        <v>3.61</v>
      </c>
      <c r="S900" s="6">
        <v>6.1</v>
      </c>
      <c r="T900" s="3"/>
    </row>
    <row r="901" spans="1:20" s="4" customFormat="1" ht="15" customHeight="1" x14ac:dyDescent="0.2">
      <c r="A901" s="4">
        <v>2013</v>
      </c>
      <c r="B901" s="4" t="s">
        <v>163</v>
      </c>
      <c r="C901" s="4" t="s">
        <v>135</v>
      </c>
      <c r="E901" s="4" t="s">
        <v>73</v>
      </c>
      <c r="I901" s="5">
        <v>5</v>
      </c>
      <c r="K901" s="3"/>
      <c r="L901" s="3"/>
      <c r="M901" s="5">
        <v>30.25</v>
      </c>
      <c r="N901" s="5">
        <f t="shared" si="67"/>
        <v>6.05</v>
      </c>
      <c r="O901" s="5"/>
      <c r="P901" s="26">
        <v>41548</v>
      </c>
      <c r="Q901" s="6">
        <v>23</v>
      </c>
      <c r="R901" s="5">
        <v>3.29</v>
      </c>
      <c r="S901" s="6">
        <v>6.9</v>
      </c>
      <c r="T901" s="3"/>
    </row>
    <row r="902" spans="1:20" s="4" customFormat="1" ht="15" customHeight="1" x14ac:dyDescent="0.2">
      <c r="A902" s="4">
        <v>2013</v>
      </c>
      <c r="B902" s="4" t="s">
        <v>125</v>
      </c>
      <c r="C902" s="4" t="s">
        <v>135</v>
      </c>
      <c r="E902" s="4" t="s">
        <v>73</v>
      </c>
      <c r="I902" s="5">
        <v>2.5</v>
      </c>
      <c r="J902" s="3"/>
      <c r="K902" s="3"/>
      <c r="L902" s="3"/>
      <c r="M902" s="5">
        <v>8.6</v>
      </c>
      <c r="N902" s="5">
        <f t="shared" si="67"/>
        <v>3.44</v>
      </c>
      <c r="O902" s="5"/>
      <c r="P902" s="8">
        <v>41553</v>
      </c>
      <c r="Q902" s="6">
        <v>25</v>
      </c>
      <c r="R902" s="5">
        <v>3.18</v>
      </c>
      <c r="S902" s="6">
        <v>7.7</v>
      </c>
      <c r="T902" s="3"/>
    </row>
    <row r="903" spans="1:20" s="4" customFormat="1" ht="15" customHeight="1" x14ac:dyDescent="0.2">
      <c r="A903" s="4">
        <v>2013</v>
      </c>
      <c r="B903" s="4" t="s">
        <v>162</v>
      </c>
      <c r="C903" s="4" t="s">
        <v>134</v>
      </c>
      <c r="E903" s="4" t="s">
        <v>73</v>
      </c>
      <c r="I903" s="5">
        <v>6</v>
      </c>
      <c r="K903" s="3"/>
      <c r="L903" s="3"/>
      <c r="M903" s="5">
        <v>4.2300000000000004</v>
      </c>
      <c r="N903" s="5">
        <f t="shared" si="67"/>
        <v>0.70500000000000007</v>
      </c>
      <c r="O903" s="5"/>
      <c r="P903" s="26">
        <v>41559</v>
      </c>
      <c r="Q903" s="6">
        <v>23.2</v>
      </c>
      <c r="R903" s="5">
        <v>3.32</v>
      </c>
      <c r="S903" s="6">
        <v>7.88</v>
      </c>
      <c r="T903" s="3"/>
    </row>
    <row r="904" spans="1:20" s="4" customFormat="1" ht="15" customHeight="1" x14ac:dyDescent="0.2">
      <c r="A904" s="4">
        <v>2013</v>
      </c>
      <c r="B904" s="4" t="s">
        <v>119</v>
      </c>
      <c r="C904" s="4" t="s">
        <v>134</v>
      </c>
      <c r="E904" s="4" t="s">
        <v>72</v>
      </c>
      <c r="I904" s="5">
        <v>4</v>
      </c>
      <c r="J904" s="3"/>
      <c r="K904" s="3"/>
      <c r="M904" s="5">
        <v>11.46</v>
      </c>
      <c r="N904" s="5">
        <f t="shared" si="67"/>
        <v>2.8650000000000002</v>
      </c>
      <c r="O904" s="5"/>
      <c r="P904" s="8">
        <v>41557</v>
      </c>
      <c r="Q904" s="6">
        <v>25</v>
      </c>
      <c r="R904" s="5">
        <v>3.61</v>
      </c>
      <c r="S904" s="6">
        <v>6.1</v>
      </c>
      <c r="T904" s="3"/>
    </row>
    <row r="905" spans="1:20" s="4" customFormat="1" ht="15" customHeight="1" x14ac:dyDescent="0.2">
      <c r="A905" s="4">
        <v>2013</v>
      </c>
      <c r="B905" s="4" t="s">
        <v>120</v>
      </c>
      <c r="C905" s="4" t="s">
        <v>134</v>
      </c>
      <c r="E905" s="4" t="s">
        <v>43</v>
      </c>
      <c r="I905" s="5">
        <v>4</v>
      </c>
      <c r="J905" s="5"/>
      <c r="K905" s="3"/>
      <c r="L905" s="3"/>
      <c r="M905" s="5">
        <v>7.7</v>
      </c>
      <c r="N905" s="5">
        <f t="shared" si="67"/>
        <v>1.925</v>
      </c>
      <c r="O905" s="5"/>
      <c r="P905" s="4" t="s">
        <v>161</v>
      </c>
      <c r="Q905" s="6">
        <v>26</v>
      </c>
      <c r="R905" s="5">
        <v>3.56</v>
      </c>
      <c r="S905" s="6">
        <v>7.5</v>
      </c>
      <c r="T905" s="3"/>
    </row>
    <row r="906" spans="1:20" s="4" customFormat="1" ht="15" customHeight="1" x14ac:dyDescent="0.2">
      <c r="A906" s="4">
        <v>2013</v>
      </c>
      <c r="B906" s="4" t="s">
        <v>125</v>
      </c>
      <c r="C906" s="4" t="s">
        <v>134</v>
      </c>
      <c r="E906" s="4" t="s">
        <v>43</v>
      </c>
      <c r="I906" s="5">
        <v>4.5</v>
      </c>
      <c r="K906" s="3"/>
      <c r="L906" s="3"/>
      <c r="M906" s="5">
        <v>16.260000000000002</v>
      </c>
      <c r="N906" s="5">
        <f t="shared" si="67"/>
        <v>3.6133333333333337</v>
      </c>
      <c r="O906" s="5"/>
      <c r="P906" s="26">
        <v>41552</v>
      </c>
      <c r="Q906" s="6">
        <v>23.5</v>
      </c>
      <c r="R906" s="5">
        <v>3.43</v>
      </c>
      <c r="S906" s="6">
        <v>7.9</v>
      </c>
      <c r="T906" s="3"/>
    </row>
    <row r="907" spans="1:20" s="4" customFormat="1" ht="15" customHeight="1" x14ac:dyDescent="0.2">
      <c r="A907" s="4">
        <v>2013</v>
      </c>
      <c r="B907" s="4" t="s">
        <v>119</v>
      </c>
      <c r="C907" s="4" t="s">
        <v>134</v>
      </c>
      <c r="E907" s="4" t="s">
        <v>43</v>
      </c>
      <c r="I907" s="5">
        <v>4</v>
      </c>
      <c r="J907" s="3"/>
      <c r="K907" s="3"/>
      <c r="L907" s="3"/>
      <c r="M907" s="5">
        <v>15.46</v>
      </c>
      <c r="N907" s="5">
        <f t="shared" si="67"/>
        <v>3.8650000000000002</v>
      </c>
      <c r="O907" s="5"/>
      <c r="P907" s="26">
        <v>41557</v>
      </c>
      <c r="Q907" s="6">
        <v>25</v>
      </c>
      <c r="R907" s="5">
        <v>3.41</v>
      </c>
      <c r="S907" s="6">
        <v>7.4</v>
      </c>
      <c r="T907" s="3"/>
    </row>
    <row r="908" spans="1:20" s="4" customFormat="1" ht="15" customHeight="1" x14ac:dyDescent="0.2">
      <c r="A908" s="4">
        <v>2013</v>
      </c>
      <c r="B908" s="4" t="s">
        <v>97</v>
      </c>
      <c r="C908" s="4">
        <v>1</v>
      </c>
      <c r="D908" s="4">
        <v>4</v>
      </c>
      <c r="E908" s="4" t="s">
        <v>43</v>
      </c>
      <c r="F908" s="4">
        <v>115</v>
      </c>
      <c r="G908" s="4">
        <v>1998</v>
      </c>
      <c r="H908" s="4" t="s">
        <v>67</v>
      </c>
      <c r="I908" s="5">
        <v>2.65</v>
      </c>
      <c r="J908" s="3">
        <v>3200</v>
      </c>
      <c r="K908" s="3">
        <v>1208</v>
      </c>
      <c r="L908" s="3">
        <v>165</v>
      </c>
      <c r="M908" s="5">
        <v>10.52</v>
      </c>
      <c r="N908" s="5">
        <f t="shared" si="67"/>
        <v>3.969811320754717</v>
      </c>
      <c r="O908" s="5">
        <f t="shared" si="68"/>
        <v>6.5750000000000002</v>
      </c>
      <c r="P908" s="26">
        <v>41543</v>
      </c>
      <c r="Q908" s="6">
        <v>23.5</v>
      </c>
      <c r="R908" s="5">
        <v>3.45</v>
      </c>
      <c r="S908" s="6">
        <v>9</v>
      </c>
      <c r="T908" s="3"/>
    </row>
    <row r="909" spans="1:20" s="4" customFormat="1" ht="15" customHeight="1" x14ac:dyDescent="0.2">
      <c r="A909" s="4">
        <v>2013</v>
      </c>
      <c r="B909" s="4" t="s">
        <v>97</v>
      </c>
      <c r="C909" s="4">
        <v>1</v>
      </c>
      <c r="D909" s="4">
        <v>5</v>
      </c>
      <c r="E909" s="4" t="s">
        <v>43</v>
      </c>
      <c r="F909" s="4">
        <v>828</v>
      </c>
      <c r="G909" s="4">
        <v>2006</v>
      </c>
      <c r="H909" s="4" t="s">
        <v>34</v>
      </c>
      <c r="I909" s="5">
        <v>1.04</v>
      </c>
      <c r="J909" s="3">
        <v>1838</v>
      </c>
      <c r="K909" s="3">
        <v>1767</v>
      </c>
      <c r="L909" s="3">
        <v>180</v>
      </c>
      <c r="M909" s="5">
        <v>2.9</v>
      </c>
      <c r="N909" s="5">
        <f t="shared" si="67"/>
        <v>2.7884615384615383</v>
      </c>
      <c r="O909" s="5">
        <f t="shared" si="68"/>
        <v>3.1556039173014145</v>
      </c>
      <c r="P909" s="8">
        <v>41543</v>
      </c>
      <c r="Q909" s="6">
        <v>24</v>
      </c>
      <c r="R909" s="5">
        <v>3.4</v>
      </c>
      <c r="S909" s="6">
        <v>6</v>
      </c>
      <c r="T909" s="3"/>
    </row>
    <row r="910" spans="1:20" s="4" customFormat="1" ht="15" customHeight="1" x14ac:dyDescent="0.2">
      <c r="A910" s="4">
        <v>2013</v>
      </c>
      <c r="B910" s="4" t="s">
        <v>97</v>
      </c>
      <c r="C910" s="4">
        <v>2</v>
      </c>
      <c r="D910" s="4">
        <v>6</v>
      </c>
      <c r="E910" s="4" t="s">
        <v>43</v>
      </c>
      <c r="F910" s="4">
        <v>777</v>
      </c>
      <c r="G910" s="4">
        <v>2006</v>
      </c>
      <c r="H910" s="4" t="s">
        <v>34</v>
      </c>
      <c r="I910" s="5">
        <v>1.22</v>
      </c>
      <c r="J910" s="3">
        <v>2209</v>
      </c>
      <c r="K910" s="3">
        <v>1820</v>
      </c>
      <c r="L910" s="3"/>
      <c r="M910" s="5">
        <v>3.83</v>
      </c>
      <c r="N910" s="5">
        <f t="shared" si="67"/>
        <v>3.139344262295082</v>
      </c>
      <c r="O910" s="5">
        <f t="shared" si="68"/>
        <v>3.4676324128564961</v>
      </c>
      <c r="P910" s="26">
        <v>41543</v>
      </c>
      <c r="Q910" s="6">
        <v>23.5</v>
      </c>
      <c r="R910" s="5">
        <v>3.45</v>
      </c>
      <c r="S910" s="6">
        <v>6.6</v>
      </c>
      <c r="T910" s="3"/>
    </row>
    <row r="911" spans="1:20" s="4" customFormat="1" ht="15" customHeight="1" x14ac:dyDescent="0.2">
      <c r="A911" s="4">
        <v>2013</v>
      </c>
      <c r="B911" s="4" t="s">
        <v>97</v>
      </c>
      <c r="C911" s="4">
        <v>2</v>
      </c>
      <c r="D911" s="4">
        <v>7</v>
      </c>
      <c r="E911" s="4" t="s">
        <v>43</v>
      </c>
      <c r="F911" s="4">
        <v>777</v>
      </c>
      <c r="G911" s="4">
        <v>2006</v>
      </c>
      <c r="H911" s="4" t="s">
        <v>34</v>
      </c>
      <c r="I911" s="5">
        <v>0.45</v>
      </c>
      <c r="J911" s="3">
        <v>702</v>
      </c>
      <c r="K911" s="3">
        <v>1560</v>
      </c>
      <c r="L911" s="3"/>
      <c r="M911" s="5">
        <v>3.21</v>
      </c>
      <c r="N911" s="5">
        <f t="shared" si="67"/>
        <v>7.1333333333333329</v>
      </c>
      <c r="O911" s="5">
        <f t="shared" si="68"/>
        <v>9.1452991452991448</v>
      </c>
      <c r="P911" s="26">
        <v>41543</v>
      </c>
      <c r="Q911" s="6">
        <v>23.5</v>
      </c>
      <c r="R911" s="5">
        <v>3.45</v>
      </c>
      <c r="S911" s="6">
        <v>6.6</v>
      </c>
      <c r="T911" s="3"/>
    </row>
    <row r="912" spans="1:20" s="4" customFormat="1" ht="15" customHeight="1" x14ac:dyDescent="0.2">
      <c r="A912" s="4">
        <v>2013</v>
      </c>
      <c r="B912" s="4" t="s">
        <v>97</v>
      </c>
      <c r="C912" s="4">
        <v>2</v>
      </c>
      <c r="D912" s="4">
        <v>8</v>
      </c>
      <c r="E912" s="4" t="s">
        <v>43</v>
      </c>
      <c r="F912" s="4">
        <v>828</v>
      </c>
      <c r="G912" s="4">
        <v>2006</v>
      </c>
      <c r="H912" s="4" t="s">
        <v>34</v>
      </c>
      <c r="I912" s="5">
        <v>0.32</v>
      </c>
      <c r="J912" s="4">
        <v>656</v>
      </c>
      <c r="K912" s="3">
        <v>2050</v>
      </c>
      <c r="L912" s="3"/>
      <c r="M912" s="5">
        <v>0.41</v>
      </c>
      <c r="N912" s="5">
        <f t="shared" si="67"/>
        <v>1.28125</v>
      </c>
      <c r="O912" s="5">
        <f t="shared" si="68"/>
        <v>1.25</v>
      </c>
      <c r="P912" s="26">
        <v>41543</v>
      </c>
      <c r="Q912" s="6">
        <v>24</v>
      </c>
      <c r="R912" s="5">
        <v>3.4</v>
      </c>
      <c r="S912" s="6">
        <v>6</v>
      </c>
      <c r="T912" s="3"/>
    </row>
    <row r="913" spans="1:20" s="4" customFormat="1" ht="15" customHeight="1" x14ac:dyDescent="0.2">
      <c r="A913" s="4">
        <v>2013</v>
      </c>
      <c r="B913" s="4" t="s">
        <v>97</v>
      </c>
      <c r="C913" s="4">
        <v>2</v>
      </c>
      <c r="D913" s="4">
        <v>5</v>
      </c>
      <c r="E913" s="4" t="s">
        <v>43</v>
      </c>
      <c r="F913" s="4">
        <v>667</v>
      </c>
      <c r="G913" s="4">
        <v>2006</v>
      </c>
      <c r="H913" s="4" t="s">
        <v>34</v>
      </c>
      <c r="I913" s="5">
        <v>1.31</v>
      </c>
      <c r="J913" s="3">
        <v>2461</v>
      </c>
      <c r="K913" s="3">
        <v>1878</v>
      </c>
      <c r="L913" s="3"/>
      <c r="M913" s="5">
        <v>4.51</v>
      </c>
      <c r="N913" s="5">
        <f t="shared" si="67"/>
        <v>3.4427480916030531</v>
      </c>
      <c r="O913" s="5">
        <f t="shared" si="68"/>
        <v>3.6651767574156846</v>
      </c>
      <c r="P913" s="8">
        <v>41543</v>
      </c>
      <c r="Q913" s="6">
        <v>24</v>
      </c>
      <c r="R913" s="5">
        <v>3.45</v>
      </c>
      <c r="S913" s="6">
        <v>6.5</v>
      </c>
      <c r="T913" s="3"/>
    </row>
    <row r="914" spans="1:20" s="4" customFormat="1" ht="15" customHeight="1" x14ac:dyDescent="0.2">
      <c r="A914" s="4">
        <v>2013</v>
      </c>
      <c r="B914" s="4" t="s">
        <v>91</v>
      </c>
      <c r="C914" s="4">
        <v>3</v>
      </c>
      <c r="D914" s="4">
        <v>1</v>
      </c>
      <c r="E914" s="4" t="s">
        <v>43</v>
      </c>
      <c r="F914" s="4">
        <v>777</v>
      </c>
      <c r="G914" s="4">
        <v>2005</v>
      </c>
      <c r="H914" s="4" t="s">
        <v>44</v>
      </c>
      <c r="I914" s="5">
        <v>1.79</v>
      </c>
      <c r="J914" s="3">
        <v>2895</v>
      </c>
      <c r="K914" s="3">
        <v>1617</v>
      </c>
      <c r="L914" s="3"/>
      <c r="M914" s="5">
        <v>5.91</v>
      </c>
      <c r="N914" s="5">
        <f t="shared" si="67"/>
        <v>3.3016759776536313</v>
      </c>
      <c r="O914" s="5">
        <f t="shared" si="68"/>
        <v>4.0829015544041454</v>
      </c>
      <c r="P914" s="26">
        <v>41537</v>
      </c>
      <c r="Q914" s="6">
        <v>23.6</v>
      </c>
      <c r="R914" s="5">
        <v>3.32</v>
      </c>
      <c r="S914" s="6">
        <v>8.1</v>
      </c>
      <c r="T914" s="3"/>
    </row>
    <row r="915" spans="1:20" s="4" customFormat="1" ht="15" customHeight="1" x14ac:dyDescent="0.2">
      <c r="A915" s="4">
        <v>2013</v>
      </c>
      <c r="B915" s="4" t="s">
        <v>91</v>
      </c>
      <c r="C915" s="4">
        <v>3</v>
      </c>
      <c r="D915" s="4">
        <v>3</v>
      </c>
      <c r="E915" s="4" t="s">
        <v>43</v>
      </c>
      <c r="F915" s="4">
        <v>667</v>
      </c>
      <c r="G915" s="4">
        <v>1996</v>
      </c>
      <c r="H915" s="4" t="s">
        <v>45</v>
      </c>
      <c r="I915" s="5">
        <v>2.4700000000000002</v>
      </c>
      <c r="J915" s="3">
        <v>5000</v>
      </c>
      <c r="K915" s="3">
        <v>2024.2914979757084</v>
      </c>
      <c r="L915" s="3">
        <v>148</v>
      </c>
      <c r="M915" s="5">
        <v>7.04</v>
      </c>
      <c r="N915" s="5">
        <f t="shared" si="67"/>
        <v>2.8502024291497974</v>
      </c>
      <c r="O915" s="5">
        <f t="shared" si="68"/>
        <v>2.8159999999999998</v>
      </c>
      <c r="P915" s="8">
        <v>41537</v>
      </c>
      <c r="Q915" s="6">
        <v>26</v>
      </c>
      <c r="R915" s="5">
        <v>3.43</v>
      </c>
      <c r="S915" s="6">
        <v>11.8</v>
      </c>
      <c r="T915" s="3"/>
    </row>
    <row r="916" spans="1:20" s="4" customFormat="1" ht="15" customHeight="1" x14ac:dyDescent="0.2">
      <c r="A916" s="4">
        <v>2013</v>
      </c>
      <c r="B916" s="4" t="s">
        <v>91</v>
      </c>
      <c r="C916" s="4">
        <v>3</v>
      </c>
      <c r="D916" s="4">
        <v>5</v>
      </c>
      <c r="E916" s="4" t="s">
        <v>43</v>
      </c>
      <c r="F916" s="4" t="s">
        <v>46</v>
      </c>
      <c r="G916" s="4">
        <v>1990</v>
      </c>
      <c r="H916" s="4" t="s">
        <v>22</v>
      </c>
      <c r="I916" s="5">
        <v>0.91</v>
      </c>
      <c r="J916" s="3">
        <v>1013</v>
      </c>
      <c r="K916" s="3">
        <v>1113.1868131868132</v>
      </c>
      <c r="L916" s="3"/>
      <c r="M916" s="5">
        <v>2.96</v>
      </c>
      <c r="N916" s="5">
        <f t="shared" si="67"/>
        <v>3.2527472527472527</v>
      </c>
      <c r="O916" s="5">
        <f t="shared" si="68"/>
        <v>5.844027640671273</v>
      </c>
      <c r="P916" s="8">
        <v>41543</v>
      </c>
      <c r="Q916" s="6">
        <v>26</v>
      </c>
      <c r="R916" s="5">
        <v>3.59</v>
      </c>
      <c r="S916" s="6">
        <v>6</v>
      </c>
      <c r="T916" s="3"/>
    </row>
    <row r="917" spans="1:20" s="4" customFormat="1" ht="15" customHeight="1" x14ac:dyDescent="0.2">
      <c r="A917" s="4">
        <v>2013</v>
      </c>
      <c r="B917" s="4" t="s">
        <v>91</v>
      </c>
      <c r="C917" s="4">
        <v>3</v>
      </c>
      <c r="D917" s="4">
        <v>6</v>
      </c>
      <c r="E917" s="4" t="s">
        <v>43</v>
      </c>
      <c r="F917" s="4" t="s">
        <v>47</v>
      </c>
      <c r="G917" s="4">
        <v>1987</v>
      </c>
      <c r="H917" s="4" t="s">
        <v>22</v>
      </c>
      <c r="I917" s="5">
        <v>0.5</v>
      </c>
      <c r="J917" s="3">
        <v>600</v>
      </c>
      <c r="K917" s="3">
        <v>1200</v>
      </c>
      <c r="L917" s="3"/>
      <c r="M917" s="5">
        <v>1.84</v>
      </c>
      <c r="N917" s="5">
        <f t="shared" si="67"/>
        <v>3.68</v>
      </c>
      <c r="O917" s="5">
        <f t="shared" si="68"/>
        <v>6.1333333333333337</v>
      </c>
      <c r="P917" s="8">
        <v>41543</v>
      </c>
      <c r="Q917" s="6">
        <v>25</v>
      </c>
      <c r="R917" s="5">
        <v>3.62</v>
      </c>
      <c r="S917" s="6">
        <v>5.8</v>
      </c>
      <c r="T917" s="3"/>
    </row>
    <row r="918" spans="1:20" s="4" customFormat="1" ht="15" customHeight="1" x14ac:dyDescent="0.2">
      <c r="A918" s="4">
        <v>2013</v>
      </c>
      <c r="B918" s="4" t="s">
        <v>91</v>
      </c>
      <c r="C918" s="4">
        <v>3</v>
      </c>
      <c r="D918" s="4">
        <v>7</v>
      </c>
      <c r="E918" s="4" t="s">
        <v>43</v>
      </c>
      <c r="F918" s="4" t="s">
        <v>48</v>
      </c>
      <c r="G918" s="4">
        <v>1987</v>
      </c>
      <c r="H918" s="4" t="s">
        <v>22</v>
      </c>
      <c r="I918" s="5">
        <v>0.96</v>
      </c>
      <c r="J918" s="3">
        <v>1160</v>
      </c>
      <c r="K918" s="3">
        <v>1208.3333333333335</v>
      </c>
      <c r="L918" s="3"/>
      <c r="M918" s="5">
        <v>2.36</v>
      </c>
      <c r="N918" s="5">
        <f t="shared" si="67"/>
        <v>2.4583333333333335</v>
      </c>
      <c r="O918" s="5">
        <f t="shared" si="68"/>
        <v>4.068965517241379</v>
      </c>
      <c r="P918" s="8">
        <v>41543</v>
      </c>
      <c r="Q918" s="6">
        <v>26</v>
      </c>
      <c r="R918" s="5">
        <v>3.59</v>
      </c>
      <c r="S918" s="6">
        <v>6</v>
      </c>
      <c r="T918" s="3"/>
    </row>
    <row r="919" spans="1:20" s="4" customFormat="1" ht="15" customHeight="1" x14ac:dyDescent="0.2">
      <c r="A919" s="4">
        <v>2013</v>
      </c>
      <c r="B919" s="4" t="s">
        <v>91</v>
      </c>
      <c r="C919" s="4">
        <v>3</v>
      </c>
      <c r="D919" s="4">
        <v>8</v>
      </c>
      <c r="E919" s="4" t="s">
        <v>43</v>
      </c>
      <c r="F919" s="4" t="s">
        <v>49</v>
      </c>
      <c r="G919" s="4">
        <v>1975</v>
      </c>
      <c r="H919" s="4" t="s">
        <v>22</v>
      </c>
      <c r="I919" s="5">
        <v>0.54</v>
      </c>
      <c r="J919" s="3">
        <v>219</v>
      </c>
      <c r="K919" s="3">
        <v>405.55555555555554</v>
      </c>
      <c r="L919" s="3"/>
      <c r="M919" s="5">
        <v>1.82</v>
      </c>
      <c r="N919" s="5">
        <f t="shared" ref="N919:N939" si="69">M919/I919</f>
        <v>3.3703703703703702</v>
      </c>
      <c r="O919" s="5">
        <f t="shared" si="68"/>
        <v>16.621004566210047</v>
      </c>
      <c r="P919" s="26">
        <v>41543</v>
      </c>
      <c r="Q919" s="6">
        <v>25</v>
      </c>
      <c r="R919" s="5">
        <v>3.62</v>
      </c>
      <c r="S919" s="6">
        <v>5.8</v>
      </c>
      <c r="T919" s="3"/>
    </row>
    <row r="920" spans="1:20" s="4" customFormat="1" ht="15" customHeight="1" x14ac:dyDescent="0.2">
      <c r="A920" s="4">
        <v>2013</v>
      </c>
      <c r="B920" s="4" t="s">
        <v>91</v>
      </c>
      <c r="C920" s="4">
        <v>4</v>
      </c>
      <c r="D920" s="4">
        <v>2</v>
      </c>
      <c r="E920" s="4" t="s">
        <v>43</v>
      </c>
      <c r="F920" s="4">
        <v>667</v>
      </c>
      <c r="G920" s="4">
        <v>2005</v>
      </c>
      <c r="H920" s="4" t="s">
        <v>34</v>
      </c>
      <c r="I920" s="5">
        <v>0.9</v>
      </c>
      <c r="J920" s="4">
        <v>1240</v>
      </c>
      <c r="K920" s="3">
        <v>1240</v>
      </c>
      <c r="L920" s="3"/>
      <c r="M920" s="5">
        <v>3.33</v>
      </c>
      <c r="N920" s="5">
        <f t="shared" si="69"/>
        <v>3.7</v>
      </c>
      <c r="O920" s="5">
        <f t="shared" ref="O920:O939" si="70">(M920*2000)/J920</f>
        <v>5.370967741935484</v>
      </c>
      <c r="P920" s="8">
        <v>41536</v>
      </c>
      <c r="Q920" s="6">
        <v>23</v>
      </c>
      <c r="R920" s="5">
        <v>3.28</v>
      </c>
      <c r="S920" s="6">
        <v>6.7</v>
      </c>
      <c r="T920" s="3"/>
    </row>
    <row r="921" spans="1:20" s="4" customFormat="1" ht="15" customHeight="1" x14ac:dyDescent="0.2">
      <c r="A921" s="4">
        <v>2013</v>
      </c>
      <c r="B921" s="4" t="s">
        <v>91</v>
      </c>
      <c r="C921" s="4">
        <v>4</v>
      </c>
      <c r="D921" s="4">
        <v>3</v>
      </c>
      <c r="E921" s="4" t="s">
        <v>43</v>
      </c>
      <c r="F921" s="4" t="s">
        <v>46</v>
      </c>
      <c r="G921" s="4">
        <v>1990</v>
      </c>
      <c r="H921" s="4" t="s">
        <v>22</v>
      </c>
      <c r="I921" s="5">
        <v>2.71</v>
      </c>
      <c r="J921" s="3">
        <v>3279</v>
      </c>
      <c r="K921" s="3">
        <v>1209.9630996309963</v>
      </c>
      <c r="L921" s="3">
        <v>175</v>
      </c>
      <c r="M921" s="5">
        <v>8.52</v>
      </c>
      <c r="N921" s="5">
        <f t="shared" si="69"/>
        <v>3.1439114391143912</v>
      </c>
      <c r="O921" s="5">
        <f t="shared" si="70"/>
        <v>5.1967063129002744</v>
      </c>
      <c r="P921" s="8">
        <v>41537</v>
      </c>
      <c r="Q921" s="6">
        <v>27</v>
      </c>
      <c r="R921" s="5">
        <v>3.44</v>
      </c>
      <c r="S921" s="6">
        <v>9.5</v>
      </c>
      <c r="T921" s="3"/>
    </row>
    <row r="922" spans="1:20" s="4" customFormat="1" ht="15" customHeight="1" x14ac:dyDescent="0.2">
      <c r="A922" s="4">
        <v>2013</v>
      </c>
      <c r="B922" s="4" t="s">
        <v>91</v>
      </c>
      <c r="C922" s="4">
        <v>4</v>
      </c>
      <c r="D922" s="31">
        <v>7</v>
      </c>
      <c r="E922" s="4" t="s">
        <v>43</v>
      </c>
      <c r="F922" s="4">
        <v>115</v>
      </c>
      <c r="G922" s="4">
        <v>2005</v>
      </c>
      <c r="H922" s="4" t="s">
        <v>44</v>
      </c>
      <c r="I922" s="5">
        <v>0.53</v>
      </c>
      <c r="J922" s="3">
        <v>965</v>
      </c>
      <c r="K922" s="3"/>
      <c r="L922" s="3"/>
      <c r="M922" s="5">
        <v>2.75</v>
      </c>
      <c r="N922" s="5">
        <f t="shared" si="69"/>
        <v>5.1886792452830184</v>
      </c>
      <c r="O922" s="5">
        <f t="shared" si="70"/>
        <v>5.6994818652849739</v>
      </c>
      <c r="P922" s="8">
        <v>41543</v>
      </c>
      <c r="Q922" s="6">
        <v>25</v>
      </c>
      <c r="R922" s="5">
        <v>3.62</v>
      </c>
      <c r="S922" s="6">
        <v>5.8</v>
      </c>
      <c r="T922" s="3"/>
    </row>
    <row r="923" spans="1:20" s="4" customFormat="1" ht="15" customHeight="1" x14ac:dyDescent="0.2">
      <c r="A923" s="4">
        <v>2013</v>
      </c>
      <c r="B923" s="4" t="s">
        <v>91</v>
      </c>
      <c r="C923" s="4">
        <v>4</v>
      </c>
      <c r="D923" s="4">
        <v>8</v>
      </c>
      <c r="E923" s="4" t="s">
        <v>43</v>
      </c>
      <c r="F923" s="4">
        <v>115</v>
      </c>
      <c r="G923" s="4">
        <v>2005</v>
      </c>
      <c r="H923" s="4" t="s">
        <v>44</v>
      </c>
      <c r="I923" s="5">
        <v>1.25</v>
      </c>
      <c r="J923" s="3">
        <v>1990</v>
      </c>
      <c r="K923" s="3"/>
      <c r="L923" s="3"/>
      <c r="M923" s="5">
        <v>5.41</v>
      </c>
      <c r="N923" s="5">
        <f t="shared" si="69"/>
        <v>4.3280000000000003</v>
      </c>
      <c r="O923" s="5">
        <f t="shared" si="70"/>
        <v>5.4371859296482414</v>
      </c>
      <c r="P923" s="26">
        <v>41543</v>
      </c>
      <c r="Q923" s="6">
        <v>24</v>
      </c>
      <c r="R923" s="5">
        <v>3.64</v>
      </c>
      <c r="S923" s="6">
        <v>5.6</v>
      </c>
      <c r="T923" s="3"/>
    </row>
    <row r="924" spans="1:20" s="4" customFormat="1" ht="15" customHeight="1" x14ac:dyDescent="0.2">
      <c r="A924" s="4">
        <v>2013</v>
      </c>
      <c r="B924" s="4" t="s">
        <v>91</v>
      </c>
      <c r="C924" s="4">
        <v>4</v>
      </c>
      <c r="D924" s="4">
        <v>9</v>
      </c>
      <c r="E924" s="4" t="s">
        <v>43</v>
      </c>
      <c r="F924" s="4">
        <v>777</v>
      </c>
      <c r="G924" s="4">
        <v>2005</v>
      </c>
      <c r="H924" s="4" t="s">
        <v>44</v>
      </c>
      <c r="I924" s="5">
        <v>1.63</v>
      </c>
      <c r="J924" s="3">
        <v>2600</v>
      </c>
      <c r="K924" s="3"/>
      <c r="L924" s="3"/>
      <c r="M924" s="5">
        <v>6.38</v>
      </c>
      <c r="N924" s="5">
        <f t="shared" si="69"/>
        <v>3.9141104294478528</v>
      </c>
      <c r="O924" s="5">
        <f t="shared" si="70"/>
        <v>4.907692307692308</v>
      </c>
      <c r="P924" s="8">
        <v>41543</v>
      </c>
      <c r="Q924" s="6">
        <v>24</v>
      </c>
      <c r="R924" s="5">
        <v>3.64</v>
      </c>
      <c r="S924" s="6">
        <v>5.6</v>
      </c>
      <c r="T924" s="3"/>
    </row>
    <row r="925" spans="1:20" s="4" customFormat="1" ht="15" customHeight="1" x14ac:dyDescent="0.2">
      <c r="A925" s="4">
        <v>2013</v>
      </c>
      <c r="B925" s="4" t="s">
        <v>91</v>
      </c>
      <c r="C925" s="4">
        <v>4</v>
      </c>
      <c r="D925" s="4">
        <v>10</v>
      </c>
      <c r="E925" s="4" t="s">
        <v>43</v>
      </c>
      <c r="F925" s="4" t="s">
        <v>46</v>
      </c>
      <c r="G925" s="4">
        <v>1990</v>
      </c>
      <c r="H925" s="4" t="s">
        <v>53</v>
      </c>
      <c r="I925" s="5">
        <v>1.73</v>
      </c>
      <c r="J925" s="3">
        <v>2093</v>
      </c>
      <c r="K925" s="3">
        <v>1209.8265895953757</v>
      </c>
      <c r="L925" s="3">
        <v>180</v>
      </c>
      <c r="M925" s="5">
        <v>5.4</v>
      </c>
      <c r="N925" s="5">
        <f t="shared" si="69"/>
        <v>3.1213872832369947</v>
      </c>
      <c r="O925" s="5">
        <f t="shared" si="70"/>
        <v>5.1600573339703777</v>
      </c>
      <c r="P925" s="26">
        <v>41545</v>
      </c>
      <c r="Q925" s="6">
        <v>27</v>
      </c>
      <c r="R925" s="5">
        <v>3.54</v>
      </c>
      <c r="S925" s="6">
        <v>6.4</v>
      </c>
      <c r="T925" s="3"/>
    </row>
    <row r="926" spans="1:20" s="4" customFormat="1" ht="15" customHeight="1" x14ac:dyDescent="0.2">
      <c r="A926" s="4">
        <v>2013</v>
      </c>
      <c r="B926" s="4" t="s">
        <v>91</v>
      </c>
      <c r="C926" s="4">
        <v>4</v>
      </c>
      <c r="D926" s="4">
        <v>11</v>
      </c>
      <c r="E926" s="4" t="s">
        <v>43</v>
      </c>
      <c r="F926" s="4">
        <v>115</v>
      </c>
      <c r="G926" s="4">
        <v>2003</v>
      </c>
      <c r="H926" s="4" t="s">
        <v>34</v>
      </c>
      <c r="I926" s="5">
        <v>1.46</v>
      </c>
      <c r="J926" s="3">
        <v>2600</v>
      </c>
      <c r="K926" s="3">
        <v>1780</v>
      </c>
      <c r="L926" s="3"/>
      <c r="M926" s="5">
        <v>3.86</v>
      </c>
      <c r="N926" s="5">
        <f t="shared" si="69"/>
        <v>2.6438356164383561</v>
      </c>
      <c r="O926" s="5">
        <f t="shared" si="70"/>
        <v>2.9692307692307693</v>
      </c>
      <c r="P926" s="8">
        <v>41554</v>
      </c>
      <c r="Q926" s="6">
        <v>26</v>
      </c>
      <c r="R926" s="5">
        <v>3.59</v>
      </c>
      <c r="S926" s="6">
        <v>8.1999999999999993</v>
      </c>
      <c r="T926" s="3"/>
    </row>
    <row r="927" spans="1:20" s="4" customFormat="1" ht="15" customHeight="1" x14ac:dyDescent="0.2">
      <c r="A927" s="4">
        <v>2013</v>
      </c>
      <c r="B927" s="4" t="s">
        <v>91</v>
      </c>
      <c r="C927" s="4">
        <v>5</v>
      </c>
      <c r="D927" s="4">
        <v>5</v>
      </c>
      <c r="E927" s="4" t="s">
        <v>43</v>
      </c>
      <c r="F927" s="4">
        <v>115</v>
      </c>
      <c r="G927" s="4">
        <v>1997</v>
      </c>
      <c r="H927" s="4" t="s">
        <v>54</v>
      </c>
      <c r="I927" s="5">
        <v>1.43</v>
      </c>
      <c r="J927" s="3">
        <v>2450</v>
      </c>
      <c r="K927" s="3">
        <v>1713.2867132867134</v>
      </c>
      <c r="L927" s="3"/>
      <c r="M927" s="5">
        <v>3.65</v>
      </c>
      <c r="N927" s="5">
        <f t="shared" si="69"/>
        <v>2.5524475524475525</v>
      </c>
      <c r="O927" s="5">
        <f t="shared" si="70"/>
        <v>2.9795918367346941</v>
      </c>
      <c r="P927" s="8">
        <v>41555</v>
      </c>
      <c r="Q927" s="6">
        <v>27</v>
      </c>
      <c r="R927" s="5">
        <v>3.42</v>
      </c>
      <c r="S927" s="6">
        <v>8.5</v>
      </c>
      <c r="T927" s="3"/>
    </row>
    <row r="928" spans="1:20" s="4" customFormat="1" ht="15" customHeight="1" x14ac:dyDescent="0.2">
      <c r="A928" s="4">
        <v>2013</v>
      </c>
      <c r="B928" s="4" t="s">
        <v>91</v>
      </c>
      <c r="C928" s="4">
        <v>5</v>
      </c>
      <c r="D928" s="4">
        <v>6</v>
      </c>
      <c r="E928" s="4" t="s">
        <v>43</v>
      </c>
      <c r="F928" s="4">
        <v>777</v>
      </c>
      <c r="G928" s="4">
        <v>1997</v>
      </c>
      <c r="H928" s="4" t="s">
        <v>54</v>
      </c>
      <c r="I928" s="5">
        <v>1.84</v>
      </c>
      <c r="J928" s="3">
        <v>3200</v>
      </c>
      <c r="K928" s="3">
        <v>1739.1304347826085</v>
      </c>
      <c r="L928" s="3"/>
      <c r="M928" s="5">
        <v>4.58</v>
      </c>
      <c r="N928" s="5">
        <f t="shared" si="69"/>
        <v>2.4891304347826084</v>
      </c>
      <c r="O928" s="5">
        <f t="shared" si="70"/>
        <v>2.8624999999999998</v>
      </c>
      <c r="P928" s="8">
        <v>41554</v>
      </c>
      <c r="Q928" s="6">
        <v>26</v>
      </c>
      <c r="R928" s="5">
        <v>3.41</v>
      </c>
      <c r="S928" s="6">
        <v>8.1</v>
      </c>
      <c r="T928" s="3"/>
    </row>
    <row r="929" spans="1:20" s="4" customFormat="1" ht="15" customHeight="1" x14ac:dyDescent="0.2">
      <c r="A929" s="4">
        <v>2013</v>
      </c>
      <c r="B929" s="4" t="s">
        <v>97</v>
      </c>
      <c r="C929" s="4">
        <v>2</v>
      </c>
      <c r="D929" s="4">
        <v>4</v>
      </c>
      <c r="E929" s="4" t="s">
        <v>28</v>
      </c>
      <c r="F929" s="4">
        <v>49</v>
      </c>
      <c r="G929" s="4">
        <v>2006</v>
      </c>
      <c r="H929" s="4" t="s">
        <v>34</v>
      </c>
      <c r="I929" s="5">
        <v>0.21</v>
      </c>
      <c r="J929" s="3">
        <v>403</v>
      </c>
      <c r="K929" s="3">
        <v>1919</v>
      </c>
      <c r="L929" s="3"/>
      <c r="M929" s="5">
        <v>1.69</v>
      </c>
      <c r="N929" s="5">
        <f t="shared" si="69"/>
        <v>8.0476190476190474</v>
      </c>
      <c r="O929" s="5">
        <f t="shared" si="70"/>
        <v>8.387096774193548</v>
      </c>
      <c r="P929" s="8">
        <v>41541</v>
      </c>
      <c r="Q929" s="6">
        <v>19.5</v>
      </c>
      <c r="R929" s="5">
        <v>2.96</v>
      </c>
      <c r="S929" s="6">
        <v>11</v>
      </c>
      <c r="T929" s="3"/>
    </row>
    <row r="930" spans="1:20" s="4" customFormat="1" ht="15" customHeight="1" x14ac:dyDescent="0.2">
      <c r="A930" s="4">
        <v>2013</v>
      </c>
      <c r="B930" s="4" t="s">
        <v>97</v>
      </c>
      <c r="C930" s="4">
        <v>2</v>
      </c>
      <c r="D930" s="4">
        <v>1</v>
      </c>
      <c r="E930" s="4" t="s">
        <v>28</v>
      </c>
      <c r="F930" s="4">
        <v>6</v>
      </c>
      <c r="G930" s="4">
        <v>1984</v>
      </c>
      <c r="H930" s="4" t="s">
        <v>65</v>
      </c>
      <c r="I930" s="5">
        <v>2.81</v>
      </c>
      <c r="J930" s="3">
        <v>2755</v>
      </c>
      <c r="K930" s="3">
        <v>1027</v>
      </c>
      <c r="L930" s="3"/>
      <c r="M930" s="5">
        <v>6.64</v>
      </c>
      <c r="N930" s="5">
        <f t="shared" si="69"/>
        <v>2.3629893238434163</v>
      </c>
      <c r="O930" s="5">
        <f t="shared" si="70"/>
        <v>4.8203266787658805</v>
      </c>
      <c r="P930" s="26">
        <v>41564</v>
      </c>
      <c r="Q930" s="6">
        <v>21.5</v>
      </c>
      <c r="R930" s="5">
        <v>2.85</v>
      </c>
      <c r="S930" s="6">
        <v>8.6999999999999993</v>
      </c>
      <c r="T930" s="3"/>
    </row>
    <row r="931" spans="1:20" s="4" customFormat="1" ht="15" customHeight="1" x14ac:dyDescent="0.2">
      <c r="A931" s="4">
        <v>2013</v>
      </c>
      <c r="B931" s="4" t="s">
        <v>97</v>
      </c>
      <c r="C931" s="4">
        <v>2</v>
      </c>
      <c r="D931" s="4">
        <v>2</v>
      </c>
      <c r="E931" s="4" t="s">
        <v>28</v>
      </c>
      <c r="F931" s="5">
        <v>49</v>
      </c>
      <c r="G931" s="4">
        <v>2006</v>
      </c>
      <c r="H931" s="4" t="s">
        <v>34</v>
      </c>
      <c r="I931" s="5">
        <v>1.58</v>
      </c>
      <c r="J931" s="4">
        <v>2737</v>
      </c>
      <c r="K931" s="3">
        <v>1732</v>
      </c>
      <c r="L931" s="3"/>
      <c r="M931" s="4">
        <v>7.57</v>
      </c>
      <c r="N931" s="5">
        <f t="shared" si="69"/>
        <v>4.7911392405063289</v>
      </c>
      <c r="O931" s="5">
        <f t="shared" si="70"/>
        <v>5.5316039459261965</v>
      </c>
      <c r="P931" s="8">
        <v>41564</v>
      </c>
      <c r="Q931" s="6">
        <v>20.5</v>
      </c>
      <c r="R931" s="5">
        <v>2.87</v>
      </c>
      <c r="S931" s="6">
        <v>9.3000000000000007</v>
      </c>
      <c r="T931" s="3"/>
    </row>
    <row r="932" spans="1:20" s="4" customFormat="1" ht="15" customHeight="1" x14ac:dyDescent="0.2">
      <c r="A932" s="4">
        <v>2013</v>
      </c>
      <c r="B932" s="4" t="s">
        <v>97</v>
      </c>
      <c r="C932" s="4">
        <v>3</v>
      </c>
      <c r="D932" s="4">
        <v>5</v>
      </c>
      <c r="E932" s="4" t="s">
        <v>28</v>
      </c>
      <c r="F932" s="4">
        <v>239</v>
      </c>
      <c r="G932" s="4">
        <v>1977</v>
      </c>
      <c r="H932" s="4" t="s">
        <v>69</v>
      </c>
      <c r="I932" s="5">
        <v>1.1299999999999999</v>
      </c>
      <c r="J932" s="4">
        <v>837</v>
      </c>
      <c r="K932" s="3">
        <v>741</v>
      </c>
      <c r="L932" s="3"/>
      <c r="M932" s="5">
        <v>6.08</v>
      </c>
      <c r="N932" s="5">
        <f t="shared" si="69"/>
        <v>5.3805309734513278</v>
      </c>
      <c r="O932" s="5">
        <f t="shared" si="70"/>
        <v>14.528076463560334</v>
      </c>
      <c r="P932" s="8">
        <v>41543</v>
      </c>
      <c r="Q932" s="6"/>
      <c r="R932" s="5"/>
      <c r="S932" s="6"/>
      <c r="T932" s="3"/>
    </row>
    <row r="933" spans="1:20" s="4" customFormat="1" ht="15" customHeight="1" x14ac:dyDescent="0.2">
      <c r="A933" s="4">
        <v>2013</v>
      </c>
      <c r="B933" s="4" t="s">
        <v>97</v>
      </c>
      <c r="C933" s="4">
        <v>3</v>
      </c>
      <c r="D933" s="4">
        <v>1</v>
      </c>
      <c r="E933" s="4" t="s">
        <v>28</v>
      </c>
      <c r="F933" s="4">
        <v>49</v>
      </c>
      <c r="G933" s="4">
        <v>2006</v>
      </c>
      <c r="H933" s="4" t="s">
        <v>34</v>
      </c>
      <c r="I933" s="5">
        <v>0.68</v>
      </c>
      <c r="J933" s="4">
        <v>1132</v>
      </c>
      <c r="K933" s="3">
        <v>1664</v>
      </c>
      <c r="L933" s="3"/>
      <c r="M933" s="5">
        <v>2.8</v>
      </c>
      <c r="N933" s="5">
        <f t="shared" si="69"/>
        <v>4.117647058823529</v>
      </c>
      <c r="O933" s="5">
        <f t="shared" si="70"/>
        <v>4.946996466431095</v>
      </c>
      <c r="P933" s="8">
        <v>41564</v>
      </c>
      <c r="Q933" s="6">
        <v>21.5</v>
      </c>
      <c r="R933" s="5">
        <v>2.85</v>
      </c>
      <c r="S933" s="6">
        <v>8.6999999999999993</v>
      </c>
      <c r="T933" s="3"/>
    </row>
    <row r="934" spans="1:20" s="4" customFormat="1" ht="15" customHeight="1" x14ac:dyDescent="0.2">
      <c r="A934" s="4">
        <v>2013</v>
      </c>
      <c r="B934" s="4" t="s">
        <v>97</v>
      </c>
      <c r="C934" s="4">
        <v>3</v>
      </c>
      <c r="D934" s="4">
        <v>2</v>
      </c>
      <c r="E934" s="4" t="s">
        <v>28</v>
      </c>
      <c r="F934" s="4">
        <v>239</v>
      </c>
      <c r="G934" s="4">
        <v>1977</v>
      </c>
      <c r="H934" s="4" t="s">
        <v>66</v>
      </c>
      <c r="I934" s="5">
        <v>1.1299999999999999</v>
      </c>
      <c r="J934" s="4">
        <v>946</v>
      </c>
      <c r="K934" s="3">
        <v>837</v>
      </c>
      <c r="L934" s="3"/>
      <c r="M934" s="5">
        <v>4.0599999999999996</v>
      </c>
      <c r="N934" s="5">
        <f t="shared" si="69"/>
        <v>3.5929203539823007</v>
      </c>
      <c r="O934" s="5">
        <f t="shared" si="70"/>
        <v>8.5835095137420705</v>
      </c>
      <c r="P934" s="8">
        <v>41564</v>
      </c>
      <c r="Q934" s="6">
        <v>21.5</v>
      </c>
      <c r="R934" s="5">
        <v>2.85</v>
      </c>
      <c r="S934" s="6">
        <v>9.3000000000000007</v>
      </c>
      <c r="T934" s="3"/>
    </row>
    <row r="935" spans="1:20" s="4" customFormat="1" ht="15" customHeight="1" x14ac:dyDescent="0.2">
      <c r="A935" s="4">
        <v>2013</v>
      </c>
      <c r="B935" s="4" t="s">
        <v>122</v>
      </c>
      <c r="C935" s="4">
        <v>1</v>
      </c>
      <c r="D935" s="4" t="s">
        <v>124</v>
      </c>
      <c r="E935" s="4" t="s">
        <v>28</v>
      </c>
      <c r="F935" s="4">
        <v>49</v>
      </c>
      <c r="G935" s="4">
        <v>2008</v>
      </c>
      <c r="H935" s="4" t="s">
        <v>76</v>
      </c>
      <c r="I935" s="5">
        <v>6.1499999999999995</v>
      </c>
      <c r="J935" s="3">
        <v>10445</v>
      </c>
      <c r="K935" s="3">
        <v>1698.3739837398375</v>
      </c>
      <c r="L935" s="3"/>
      <c r="M935" s="5">
        <v>28.64</v>
      </c>
      <c r="N935" s="5">
        <f t="shared" si="69"/>
        <v>4.6569105691056913</v>
      </c>
      <c r="O935" s="5">
        <f t="shared" si="70"/>
        <v>5.4839636189564382</v>
      </c>
      <c r="P935" s="8">
        <v>41554</v>
      </c>
      <c r="Q935" s="6">
        <v>20</v>
      </c>
      <c r="R935" s="5">
        <v>2.83</v>
      </c>
      <c r="S935" s="6">
        <v>11.3</v>
      </c>
      <c r="T935" s="3"/>
    </row>
    <row r="936" spans="1:20" s="4" customFormat="1" ht="15" customHeight="1" x14ac:dyDescent="0.2">
      <c r="A936" s="4">
        <v>2013</v>
      </c>
      <c r="B936" s="4" t="s">
        <v>91</v>
      </c>
      <c r="C936" s="4">
        <v>1</v>
      </c>
      <c r="D936" s="4">
        <v>4</v>
      </c>
      <c r="E936" s="4" t="s">
        <v>28</v>
      </c>
      <c r="F936" s="4" t="s">
        <v>29</v>
      </c>
      <c r="G936" s="4">
        <v>1982</v>
      </c>
      <c r="H936" s="4" t="s">
        <v>24</v>
      </c>
      <c r="I936" s="5">
        <v>5.13</v>
      </c>
      <c r="J936" s="3">
        <v>5536</v>
      </c>
      <c r="K936" s="3">
        <v>1079</v>
      </c>
      <c r="L936" s="3">
        <v>185</v>
      </c>
      <c r="M936" s="5">
        <v>21.98</v>
      </c>
      <c r="N936" s="5">
        <f t="shared" si="69"/>
        <v>4.2846003898635479</v>
      </c>
      <c r="O936" s="5">
        <f t="shared" si="70"/>
        <v>7.9407514450867049</v>
      </c>
      <c r="P936" s="8">
        <v>41541</v>
      </c>
      <c r="Q936" s="6">
        <v>19.5</v>
      </c>
      <c r="R936" s="5">
        <v>2.96</v>
      </c>
      <c r="S936" s="6">
        <v>10.95</v>
      </c>
      <c r="T936" s="3"/>
    </row>
    <row r="937" spans="1:20" s="4" customFormat="1" ht="15" customHeight="1" x14ac:dyDescent="0.2">
      <c r="A937" s="4">
        <v>2013</v>
      </c>
      <c r="B937" s="4" t="s">
        <v>91</v>
      </c>
      <c r="C937" s="4">
        <v>1</v>
      </c>
      <c r="D937" s="4">
        <v>6</v>
      </c>
      <c r="E937" s="4" t="s">
        <v>99</v>
      </c>
      <c r="F937" s="4">
        <v>530</v>
      </c>
      <c r="G937" s="4">
        <v>1997</v>
      </c>
      <c r="H937" s="4" t="s">
        <v>27</v>
      </c>
      <c r="I937" s="5">
        <v>1.82</v>
      </c>
      <c r="J937" s="3">
        <v>1888</v>
      </c>
      <c r="K937" s="3">
        <v>1374</v>
      </c>
      <c r="L937" s="3"/>
      <c r="M937" s="5">
        <v>6.36</v>
      </c>
      <c r="N937" s="5">
        <f t="shared" si="69"/>
        <v>3.4945054945054945</v>
      </c>
      <c r="O937" s="5">
        <f t="shared" si="70"/>
        <v>6.7372881355932206</v>
      </c>
      <c r="P937" s="26">
        <v>41537</v>
      </c>
      <c r="Q937" s="6">
        <v>21.5</v>
      </c>
      <c r="R937" s="5">
        <v>3.23</v>
      </c>
      <c r="S937" s="6">
        <v>6.9</v>
      </c>
      <c r="T937" s="3"/>
    </row>
    <row r="938" spans="1:20" s="4" customFormat="1" ht="15" customHeight="1" x14ac:dyDescent="0.2">
      <c r="A938" s="4">
        <v>2013</v>
      </c>
      <c r="B938" s="4" t="s">
        <v>115</v>
      </c>
      <c r="C938" s="4">
        <v>1</v>
      </c>
      <c r="D938" s="4">
        <v>2</v>
      </c>
      <c r="E938" s="4" t="s">
        <v>55</v>
      </c>
      <c r="F938" s="4">
        <v>174</v>
      </c>
      <c r="G938" s="4">
        <v>2006</v>
      </c>
      <c r="H938" s="4" t="s">
        <v>60</v>
      </c>
      <c r="I938" s="5">
        <v>1.6</v>
      </c>
      <c r="J938" s="4">
        <v>1748</v>
      </c>
      <c r="K938" s="3">
        <v>1093</v>
      </c>
      <c r="L938" s="3"/>
      <c r="M938" s="5">
        <v>3.47</v>
      </c>
      <c r="N938" s="5">
        <f t="shared" si="69"/>
        <v>2.1687500000000002</v>
      </c>
      <c r="O938" s="5">
        <f t="shared" si="70"/>
        <v>3.9702517162471396</v>
      </c>
      <c r="P938" s="8">
        <v>41549</v>
      </c>
      <c r="Q938" s="6">
        <v>23.3</v>
      </c>
      <c r="R938" s="5">
        <v>3.3</v>
      </c>
      <c r="S938" s="6">
        <v>7.8</v>
      </c>
      <c r="T938" s="3"/>
    </row>
    <row r="939" spans="1:20" s="4" customFormat="1" ht="15" customHeight="1" x14ac:dyDescent="0.2">
      <c r="A939" s="4">
        <v>2013</v>
      </c>
      <c r="B939" s="4" t="s">
        <v>91</v>
      </c>
      <c r="C939" s="4">
        <v>2</v>
      </c>
      <c r="D939" s="4">
        <v>1</v>
      </c>
      <c r="E939" s="4" t="s">
        <v>55</v>
      </c>
      <c r="F939" s="4" t="s">
        <v>147</v>
      </c>
      <c r="G939" s="4">
        <v>2010</v>
      </c>
      <c r="H939" s="4" t="s">
        <v>148</v>
      </c>
      <c r="I939" s="5">
        <v>2.69</v>
      </c>
      <c r="J939" s="3">
        <v>3911</v>
      </c>
      <c r="K939" s="3">
        <v>1078</v>
      </c>
      <c r="L939" s="3"/>
      <c r="M939" s="5">
        <v>5.45</v>
      </c>
      <c r="N939" s="5">
        <f t="shared" si="69"/>
        <v>2.0260223048327139</v>
      </c>
      <c r="O939" s="5">
        <f t="shared" si="70"/>
        <v>2.7870109946305295</v>
      </c>
      <c r="P939" s="26">
        <v>41557</v>
      </c>
      <c r="Q939" s="6">
        <v>26</v>
      </c>
      <c r="R939" s="5">
        <v>3.56</v>
      </c>
      <c r="S939" s="6">
        <v>10.4</v>
      </c>
      <c r="T939" s="3"/>
    </row>
    <row r="940" spans="1:20" s="4" customFormat="1" ht="15" customHeight="1" x14ac:dyDescent="0.2">
      <c r="A940" s="4">
        <v>2014</v>
      </c>
      <c r="B940" s="4" t="s">
        <v>91</v>
      </c>
      <c r="C940" s="4">
        <v>1</v>
      </c>
      <c r="D940" s="4">
        <v>1</v>
      </c>
      <c r="E940" s="4" t="s">
        <v>101</v>
      </c>
      <c r="F940" s="4">
        <v>339</v>
      </c>
      <c r="G940" s="4">
        <v>1997</v>
      </c>
      <c r="H940" s="4" t="s">
        <v>113</v>
      </c>
      <c r="I940" s="5">
        <v>7.0000000000000007E-2</v>
      </c>
      <c r="J940" s="4">
        <v>208</v>
      </c>
      <c r="K940" s="3">
        <v>2971.4285714285711</v>
      </c>
      <c r="L940" s="3"/>
      <c r="M940" s="5">
        <v>0.25</v>
      </c>
      <c r="N940" s="5">
        <f>M940/I940</f>
        <v>3.5714285714285712</v>
      </c>
      <c r="O940" s="5">
        <f>(M940*2000)/J940</f>
        <v>2.4038461538461537</v>
      </c>
      <c r="P940" s="26">
        <v>41939</v>
      </c>
      <c r="Q940" s="6">
        <v>25.9</v>
      </c>
      <c r="R940" s="5">
        <v>3.58</v>
      </c>
      <c r="S940" s="6">
        <v>5.93</v>
      </c>
      <c r="T940" s="3"/>
    </row>
    <row r="941" spans="1:20" s="4" customFormat="1" ht="15" customHeight="1" x14ac:dyDescent="0.2">
      <c r="A941" s="4">
        <v>2014</v>
      </c>
      <c r="B941" s="4" t="s">
        <v>91</v>
      </c>
      <c r="C941" s="4">
        <v>4</v>
      </c>
      <c r="D941" s="4">
        <v>6</v>
      </c>
      <c r="E941" s="4" t="s">
        <v>101</v>
      </c>
      <c r="F941" s="4">
        <v>191</v>
      </c>
      <c r="G941" s="4">
        <v>1997</v>
      </c>
      <c r="H941" s="4" t="s">
        <v>14</v>
      </c>
      <c r="I941" s="5">
        <v>1.38</v>
      </c>
      <c r="J941" s="4">
        <v>1900</v>
      </c>
      <c r="K941" s="3">
        <v>1377</v>
      </c>
      <c r="L941" s="3"/>
      <c r="M941" s="5">
        <v>4.26</v>
      </c>
      <c r="N941" s="5">
        <f t="shared" ref="N941:N945" si="71">M941/I941</f>
        <v>3.0869565217391304</v>
      </c>
      <c r="O941" s="5">
        <f>(M941*2000)/J941</f>
        <v>4.4842105263157892</v>
      </c>
      <c r="P941" s="26">
        <v>41939</v>
      </c>
      <c r="Q941" s="6">
        <v>25.9</v>
      </c>
      <c r="R941" s="5">
        <v>3.58</v>
      </c>
      <c r="S941" s="6">
        <v>5.93</v>
      </c>
      <c r="T941" s="3"/>
    </row>
    <row r="942" spans="1:20" s="4" customFormat="1" ht="15" customHeight="1" x14ac:dyDescent="0.2">
      <c r="A942" s="4">
        <v>2014</v>
      </c>
      <c r="B942" s="4" t="s">
        <v>91</v>
      </c>
      <c r="C942" s="4">
        <v>4</v>
      </c>
      <c r="D942" s="4">
        <v>5</v>
      </c>
      <c r="E942" s="4" t="s">
        <v>101</v>
      </c>
      <c r="F942" s="4">
        <v>191</v>
      </c>
      <c r="G942" s="4">
        <v>2003</v>
      </c>
      <c r="H942" s="4" t="s">
        <v>34</v>
      </c>
      <c r="I942" s="5">
        <v>2.19</v>
      </c>
      <c r="J942" s="4">
        <v>3990</v>
      </c>
      <c r="K942" s="3">
        <v>1821.9178082191781</v>
      </c>
      <c r="L942" s="3"/>
      <c r="M942" s="5">
        <v>9.5</v>
      </c>
      <c r="N942" s="5">
        <f t="shared" si="71"/>
        <v>4.3378995433789953</v>
      </c>
      <c r="O942" s="5">
        <f t="shared" ref="O942:O943" si="72">(M942*2000)/J942</f>
        <v>4.7619047619047619</v>
      </c>
      <c r="P942" s="26">
        <v>41939</v>
      </c>
      <c r="Q942" s="6">
        <v>25.2</v>
      </c>
      <c r="R942" s="5">
        <v>3.51</v>
      </c>
      <c r="S942" s="6">
        <v>5.78</v>
      </c>
      <c r="T942" s="3"/>
    </row>
    <row r="943" spans="1:20" s="4" customFormat="1" ht="15" customHeight="1" x14ac:dyDescent="0.2">
      <c r="A943" s="4">
        <v>2014</v>
      </c>
      <c r="B943" s="4" t="s">
        <v>91</v>
      </c>
      <c r="C943" s="4">
        <v>5</v>
      </c>
      <c r="D943" s="1">
        <v>7</v>
      </c>
      <c r="E943" s="4" t="s">
        <v>101</v>
      </c>
      <c r="F943" s="4">
        <v>191</v>
      </c>
      <c r="G943" s="4">
        <v>1997</v>
      </c>
      <c r="H943" s="4" t="s">
        <v>14</v>
      </c>
      <c r="I943" s="5">
        <v>1.25</v>
      </c>
      <c r="J943" s="4">
        <v>1716</v>
      </c>
      <c r="K943" s="3">
        <v>1372.8</v>
      </c>
      <c r="L943" s="3"/>
      <c r="M943" s="5">
        <v>3.13</v>
      </c>
      <c r="N943" s="5">
        <f t="shared" si="71"/>
        <v>2.504</v>
      </c>
      <c r="O943" s="5">
        <f t="shared" si="72"/>
        <v>3.6480186480186481</v>
      </c>
      <c r="P943" s="26">
        <v>41939</v>
      </c>
      <c r="Q943" s="6">
        <v>24.4</v>
      </c>
      <c r="R943" s="5">
        <v>3.52</v>
      </c>
      <c r="S943" s="6">
        <v>5.4</v>
      </c>
      <c r="T943" s="3"/>
    </row>
    <row r="944" spans="1:20" s="4" customFormat="1" ht="15" customHeight="1" x14ac:dyDescent="0.2">
      <c r="A944" s="4">
        <v>2014</v>
      </c>
      <c r="B944" s="4" t="s">
        <v>91</v>
      </c>
      <c r="C944" s="4">
        <v>1</v>
      </c>
      <c r="D944" s="4">
        <v>2</v>
      </c>
      <c r="E944" s="4" t="s">
        <v>7</v>
      </c>
      <c r="F944" s="4">
        <v>548</v>
      </c>
      <c r="G944" s="4">
        <v>1996</v>
      </c>
      <c r="H944" s="4" t="s">
        <v>8</v>
      </c>
      <c r="I944" s="5">
        <v>0.86</v>
      </c>
      <c r="J944" s="3">
        <v>1519</v>
      </c>
      <c r="K944" s="3">
        <v>2020</v>
      </c>
      <c r="L944" s="3"/>
      <c r="M944" s="5">
        <v>2.63</v>
      </c>
      <c r="N944" s="5">
        <f t="shared" si="71"/>
        <v>3.058139534883721</v>
      </c>
      <c r="O944" s="5">
        <f t="shared" ref="O944:O945" si="73">(M944*2000)/J944</f>
        <v>3.4628044766293615</v>
      </c>
      <c r="P944" s="26">
        <v>41907</v>
      </c>
      <c r="Q944" s="6">
        <v>22.1</v>
      </c>
      <c r="R944" s="5">
        <v>3.3</v>
      </c>
      <c r="S944" s="6">
        <v>6.83</v>
      </c>
      <c r="T944" s="3"/>
    </row>
    <row r="945" spans="1:21" s="4" customFormat="1" ht="15" customHeight="1" x14ac:dyDescent="0.2">
      <c r="A945" s="4">
        <v>2014</v>
      </c>
      <c r="B945" s="4" t="s">
        <v>91</v>
      </c>
      <c r="C945" s="4">
        <v>2</v>
      </c>
      <c r="D945" s="4">
        <v>4</v>
      </c>
      <c r="E945" s="4" t="s">
        <v>7</v>
      </c>
      <c r="F945" s="4" t="s">
        <v>9</v>
      </c>
      <c r="G945" s="4">
        <v>1987</v>
      </c>
      <c r="H945" s="4" t="s">
        <v>10</v>
      </c>
      <c r="I945" s="5">
        <v>1.42</v>
      </c>
      <c r="J945" s="4">
        <v>1532</v>
      </c>
      <c r="K945" s="3">
        <v>1079</v>
      </c>
      <c r="L945" s="3"/>
      <c r="M945" s="5">
        <v>3.67</v>
      </c>
      <c r="N945" s="5">
        <f t="shared" si="71"/>
        <v>2.584507042253521</v>
      </c>
      <c r="O945" s="5">
        <f t="shared" si="73"/>
        <v>4.7911227154046996</v>
      </c>
      <c r="P945" s="8">
        <v>41926</v>
      </c>
      <c r="Q945" s="6">
        <v>22.8</v>
      </c>
      <c r="R945" s="5">
        <v>3.56</v>
      </c>
      <c r="S945" s="6">
        <v>8.25</v>
      </c>
      <c r="T945" s="3"/>
    </row>
    <row r="946" spans="1:21" s="4" customFormat="1" ht="15" customHeight="1" x14ac:dyDescent="0.2">
      <c r="A946" s="4">
        <v>2014</v>
      </c>
      <c r="B946" s="4" t="s">
        <v>91</v>
      </c>
      <c r="C946" s="4">
        <v>2</v>
      </c>
      <c r="D946" s="4">
        <v>5</v>
      </c>
      <c r="E946" s="4" t="s">
        <v>7</v>
      </c>
      <c r="F946" s="4" t="s">
        <v>11</v>
      </c>
      <c r="G946" s="4">
        <v>1993</v>
      </c>
      <c r="H946" s="4" t="s">
        <v>12</v>
      </c>
      <c r="I946" s="5">
        <v>0.48</v>
      </c>
      <c r="J946" s="4">
        <v>800</v>
      </c>
      <c r="K946" s="3">
        <v>1667</v>
      </c>
      <c r="L946" s="3"/>
      <c r="M946" s="5">
        <v>13.19</v>
      </c>
      <c r="N946" s="5">
        <v>0</v>
      </c>
      <c r="O946" s="5">
        <v>0</v>
      </c>
      <c r="P946" s="8">
        <v>41926</v>
      </c>
      <c r="Q946" s="6">
        <v>22.6</v>
      </c>
      <c r="R946" s="5">
        <v>3.22</v>
      </c>
      <c r="S946" s="6">
        <v>9.75</v>
      </c>
      <c r="T946" s="3"/>
    </row>
    <row r="947" spans="1:21" s="4" customFormat="1" ht="15" customHeight="1" x14ac:dyDescent="0.2">
      <c r="A947" s="4">
        <v>2014</v>
      </c>
      <c r="B947" s="4" t="s">
        <v>91</v>
      </c>
      <c r="C947" s="4">
        <v>3</v>
      </c>
      <c r="D947" s="4">
        <v>4</v>
      </c>
      <c r="E947" s="4" t="s">
        <v>7</v>
      </c>
      <c r="F947" s="4">
        <v>95</v>
      </c>
      <c r="G947" s="4">
        <v>1996</v>
      </c>
      <c r="H947" s="4" t="s">
        <v>13</v>
      </c>
      <c r="I947" s="5">
        <v>2.4700000000000002</v>
      </c>
      <c r="J947" s="3">
        <v>5000</v>
      </c>
      <c r="K947" s="3">
        <v>2024.2914979757084</v>
      </c>
      <c r="L947" s="3"/>
      <c r="M947" s="5">
        <v>15.96</v>
      </c>
      <c r="N947" s="5">
        <f t="shared" ref="N947:N971" si="74">M947/I947</f>
        <v>6.4615384615384617</v>
      </c>
      <c r="O947" s="5">
        <f t="shared" ref="O947:O962" si="75">(M947*2000)/J947</f>
        <v>6.3840000000000003</v>
      </c>
      <c r="P947" s="26">
        <v>41907</v>
      </c>
      <c r="Q947" s="6">
        <v>22.9</v>
      </c>
      <c r="R947" s="5">
        <v>3.32</v>
      </c>
      <c r="S947" s="6">
        <v>7</v>
      </c>
      <c r="T947" s="3"/>
    </row>
    <row r="948" spans="1:21" s="4" customFormat="1" ht="15" customHeight="1" x14ac:dyDescent="0.2">
      <c r="A948" s="4">
        <v>2014</v>
      </c>
      <c r="B948" s="4" t="s">
        <v>91</v>
      </c>
      <c r="C948" s="4">
        <v>4</v>
      </c>
      <c r="D948" s="4">
        <v>1</v>
      </c>
      <c r="E948" s="4" t="s">
        <v>7</v>
      </c>
      <c r="F948" s="4">
        <v>95</v>
      </c>
      <c r="G948" s="4">
        <v>2011</v>
      </c>
      <c r="H948" s="4" t="s">
        <v>96</v>
      </c>
      <c r="I948" s="5">
        <v>2.35</v>
      </c>
      <c r="J948" s="4">
        <v>1992</v>
      </c>
      <c r="K948" s="3">
        <v>847.65957446808511</v>
      </c>
      <c r="L948" s="32"/>
      <c r="M948" s="32">
        <v>14.05</v>
      </c>
      <c r="N948" s="5">
        <f t="shared" si="74"/>
        <v>5.9787234042553195</v>
      </c>
      <c r="O948" s="5">
        <f t="shared" si="75"/>
        <v>14.106425702811245</v>
      </c>
      <c r="P948" s="8">
        <v>41911</v>
      </c>
      <c r="Q948" s="6">
        <v>22.1</v>
      </c>
      <c r="R948" s="5">
        <v>3.24</v>
      </c>
      <c r="S948" s="6">
        <v>9.56</v>
      </c>
      <c r="T948" s="3"/>
    </row>
    <row r="949" spans="1:21" s="4" customFormat="1" ht="15" customHeight="1" x14ac:dyDescent="0.2">
      <c r="A949" s="4">
        <v>2014</v>
      </c>
      <c r="B949" s="4" t="s">
        <v>91</v>
      </c>
      <c r="C949" s="4">
        <v>5</v>
      </c>
      <c r="D949" s="4">
        <v>2</v>
      </c>
      <c r="E949" s="4" t="s">
        <v>7</v>
      </c>
      <c r="F949" s="4">
        <v>96</v>
      </c>
      <c r="G949" s="4">
        <v>1997</v>
      </c>
      <c r="H949" s="4" t="s">
        <v>14</v>
      </c>
      <c r="I949" s="5">
        <v>2.1800000000000002</v>
      </c>
      <c r="J949" s="3">
        <v>3000</v>
      </c>
      <c r="K949" s="3">
        <v>1376</v>
      </c>
      <c r="L949" s="3"/>
      <c r="M949" s="32">
        <v>13.6</v>
      </c>
      <c r="N949" s="5">
        <f t="shared" si="74"/>
        <v>6.2385321100917421</v>
      </c>
      <c r="O949" s="5">
        <f t="shared" si="75"/>
        <v>9.0666666666666664</v>
      </c>
      <c r="P949" s="26">
        <v>41908</v>
      </c>
      <c r="Q949" s="6">
        <v>22.5</v>
      </c>
      <c r="R949" s="5">
        <v>3.24</v>
      </c>
      <c r="S949" s="6">
        <v>9.15</v>
      </c>
      <c r="T949" s="3"/>
    </row>
    <row r="950" spans="1:21" s="4" customFormat="1" ht="15" customHeight="1" x14ac:dyDescent="0.2">
      <c r="A950" s="4">
        <v>2014</v>
      </c>
      <c r="B950" s="4" t="s">
        <v>91</v>
      </c>
      <c r="C950" s="4">
        <v>5</v>
      </c>
      <c r="D950" s="4">
        <v>4</v>
      </c>
      <c r="E950" s="4" t="s">
        <v>7</v>
      </c>
      <c r="F950" s="4">
        <v>809</v>
      </c>
      <c r="G950" s="4">
        <v>1997</v>
      </c>
      <c r="H950" s="4" t="s">
        <v>14</v>
      </c>
      <c r="I950" s="5">
        <v>0.73</v>
      </c>
      <c r="J950" s="3">
        <v>1000</v>
      </c>
      <c r="K950" s="3">
        <v>1370</v>
      </c>
      <c r="L950" s="32"/>
      <c r="M950" s="32">
        <v>3.88</v>
      </c>
      <c r="N950" s="5">
        <f t="shared" si="74"/>
        <v>5.3150684931506849</v>
      </c>
      <c r="O950" s="5">
        <f t="shared" si="75"/>
        <v>7.76</v>
      </c>
      <c r="P950" s="26">
        <v>41908</v>
      </c>
      <c r="Q950" s="6">
        <v>22.5</v>
      </c>
      <c r="R950" s="5">
        <v>3.24</v>
      </c>
      <c r="S950" s="6">
        <v>9.15</v>
      </c>
      <c r="T950" s="3"/>
    </row>
    <row r="951" spans="1:21" s="4" customFormat="1" ht="15" customHeight="1" x14ac:dyDescent="0.2">
      <c r="A951" s="4">
        <v>2014</v>
      </c>
      <c r="B951" s="4" t="s">
        <v>91</v>
      </c>
      <c r="C951" s="4">
        <v>5</v>
      </c>
      <c r="D951" s="4">
        <v>1</v>
      </c>
      <c r="E951" s="4" t="s">
        <v>7</v>
      </c>
      <c r="F951" s="4">
        <v>76</v>
      </c>
      <c r="G951" s="4">
        <v>1997</v>
      </c>
      <c r="H951" s="4" t="s">
        <v>14</v>
      </c>
      <c r="I951" s="5">
        <v>2.1800000000000002</v>
      </c>
      <c r="J951" s="3">
        <v>3000</v>
      </c>
      <c r="K951" s="3">
        <v>1376</v>
      </c>
      <c r="L951" s="32"/>
      <c r="M951" s="32">
        <v>12.1</v>
      </c>
      <c r="N951" s="5">
        <f t="shared" si="74"/>
        <v>5.5504587155963296</v>
      </c>
      <c r="O951" s="5">
        <f t="shared" si="75"/>
        <v>8.0666666666666664</v>
      </c>
      <c r="P951" s="26">
        <v>41908</v>
      </c>
      <c r="Q951" s="6">
        <v>22.5</v>
      </c>
      <c r="R951" s="5">
        <v>3.24</v>
      </c>
      <c r="S951" s="6">
        <v>9.15</v>
      </c>
      <c r="T951" s="3"/>
    </row>
    <row r="952" spans="1:21" s="4" customFormat="1" ht="15" customHeight="1" x14ac:dyDescent="0.2">
      <c r="A952" s="4">
        <v>2014</v>
      </c>
      <c r="B952" s="4" t="s">
        <v>91</v>
      </c>
      <c r="C952" s="4">
        <v>5</v>
      </c>
      <c r="D952" s="4">
        <v>3</v>
      </c>
      <c r="E952" s="4" t="s">
        <v>7</v>
      </c>
      <c r="F952" s="4">
        <v>277</v>
      </c>
      <c r="G952" s="4">
        <v>1997</v>
      </c>
      <c r="H952" s="4" t="s">
        <v>14</v>
      </c>
      <c r="I952" s="5">
        <v>2.1800000000000002</v>
      </c>
      <c r="J952" s="3">
        <v>3000</v>
      </c>
      <c r="K952" s="3">
        <v>1376</v>
      </c>
      <c r="L952" s="3"/>
      <c r="M952" s="32">
        <v>9.7799999999999994</v>
      </c>
      <c r="N952" s="5">
        <f t="shared" si="74"/>
        <v>4.4862385321100913</v>
      </c>
      <c r="O952" s="5">
        <f t="shared" si="75"/>
        <v>6.52</v>
      </c>
      <c r="P952" s="26">
        <v>41908</v>
      </c>
      <c r="Q952" s="6">
        <v>22.5</v>
      </c>
      <c r="R952" s="5">
        <v>3.24</v>
      </c>
      <c r="S952" s="6">
        <v>9.15</v>
      </c>
      <c r="T952" s="3"/>
    </row>
    <row r="953" spans="1:21" s="4" customFormat="1" ht="15" customHeight="1" x14ac:dyDescent="0.2">
      <c r="A953" s="4">
        <v>2014</v>
      </c>
      <c r="B953" s="4" t="s">
        <v>97</v>
      </c>
      <c r="C953" s="4">
        <v>3</v>
      </c>
      <c r="D953" s="4">
        <v>3</v>
      </c>
      <c r="E953" s="4" t="s">
        <v>16</v>
      </c>
      <c r="F953" s="4">
        <v>76</v>
      </c>
      <c r="G953" s="4">
        <v>2006</v>
      </c>
      <c r="H953" s="4" t="s">
        <v>34</v>
      </c>
      <c r="I953" s="5">
        <v>3.29</v>
      </c>
      <c r="J953" s="3">
        <v>1266</v>
      </c>
      <c r="K953" s="3">
        <v>1565</v>
      </c>
      <c r="L953" s="3"/>
      <c r="M953" s="32">
        <v>38.07</v>
      </c>
      <c r="N953" s="5">
        <f t="shared" si="74"/>
        <v>11.571428571428571</v>
      </c>
      <c r="O953" s="5">
        <f t="shared" si="75"/>
        <v>60.142180094786731</v>
      </c>
      <c r="P953" s="8" t="s">
        <v>170</v>
      </c>
      <c r="Q953" s="6">
        <v>17.2</v>
      </c>
      <c r="R953" s="5">
        <v>3.35</v>
      </c>
      <c r="S953" s="6">
        <v>7.89</v>
      </c>
      <c r="T953" s="3"/>
    </row>
    <row r="954" spans="1:21" s="4" customFormat="1" ht="15" customHeight="1" x14ac:dyDescent="0.2">
      <c r="A954" s="4">
        <v>2014</v>
      </c>
      <c r="B954" s="4" t="s">
        <v>91</v>
      </c>
      <c r="C954" s="4">
        <v>1</v>
      </c>
      <c r="D954" s="4">
        <v>7</v>
      </c>
      <c r="E954" s="4" t="s">
        <v>16</v>
      </c>
      <c r="F954" s="4" t="s">
        <v>9</v>
      </c>
      <c r="G954" s="4" t="s">
        <v>17</v>
      </c>
      <c r="H954" s="4" t="s">
        <v>18</v>
      </c>
      <c r="I954" s="5">
        <v>2.86</v>
      </c>
      <c r="J954" s="4">
        <v>2114</v>
      </c>
      <c r="K954" s="3">
        <v>698</v>
      </c>
      <c r="L954" s="3"/>
      <c r="M954" s="33">
        <v>36.31</v>
      </c>
      <c r="N954" s="5">
        <f t="shared" si="74"/>
        <v>12.695804195804197</v>
      </c>
      <c r="O954" s="5">
        <f t="shared" si="75"/>
        <v>34.351939451277197</v>
      </c>
      <c r="P954" s="26">
        <v>41914</v>
      </c>
      <c r="Q954" s="6">
        <v>19.8</v>
      </c>
      <c r="R954" s="5">
        <v>3.35</v>
      </c>
      <c r="S954" s="6">
        <v>6.3</v>
      </c>
      <c r="T954" s="3"/>
    </row>
    <row r="955" spans="1:21" s="4" customFormat="1" ht="15" customHeight="1" x14ac:dyDescent="0.2">
      <c r="A955" s="4">
        <v>2014</v>
      </c>
      <c r="B955" s="4" t="s">
        <v>91</v>
      </c>
      <c r="C955" s="4">
        <v>2</v>
      </c>
      <c r="D955" s="4">
        <v>3</v>
      </c>
      <c r="E955" s="4" t="s">
        <v>16</v>
      </c>
      <c r="F955" s="4" t="s">
        <v>9</v>
      </c>
      <c r="G955" s="4" t="s">
        <v>17</v>
      </c>
      <c r="H955" s="4" t="s">
        <v>18</v>
      </c>
      <c r="I955" s="5">
        <v>2.4500000000000002</v>
      </c>
      <c r="J955" s="3">
        <v>1590</v>
      </c>
      <c r="K955" s="3">
        <v>698</v>
      </c>
      <c r="L955" s="3"/>
      <c r="M955" s="33">
        <v>17.260000000000002</v>
      </c>
      <c r="N955" s="5">
        <f t="shared" si="74"/>
        <v>7.0448979591836736</v>
      </c>
      <c r="O955" s="5">
        <f t="shared" si="75"/>
        <v>21.710691823899371</v>
      </c>
      <c r="P955" s="8">
        <v>41914</v>
      </c>
      <c r="Q955" s="6">
        <v>19.8</v>
      </c>
      <c r="R955" s="5">
        <v>3.43</v>
      </c>
      <c r="S955" s="6">
        <v>5.6</v>
      </c>
      <c r="T955" s="3"/>
    </row>
    <row r="956" spans="1:21" s="4" customFormat="1" ht="15" customHeight="1" x14ac:dyDescent="0.2">
      <c r="A956" s="4">
        <v>2014</v>
      </c>
      <c r="B956" s="4" t="s">
        <v>91</v>
      </c>
      <c r="C956" s="4">
        <v>2</v>
      </c>
      <c r="D956" s="4">
        <v>3</v>
      </c>
      <c r="E956" s="4" t="s">
        <v>16</v>
      </c>
      <c r="F956" s="4">
        <v>339</v>
      </c>
      <c r="G956" s="4">
        <v>1997</v>
      </c>
      <c r="H956" s="4" t="s">
        <v>113</v>
      </c>
      <c r="I956" s="5">
        <v>7.0000000000000007E-2</v>
      </c>
      <c r="J956" s="3">
        <v>208</v>
      </c>
      <c r="K956" s="3">
        <v>2971.4285714285711</v>
      </c>
      <c r="L956" s="3"/>
      <c r="M956" s="5"/>
      <c r="N956" s="5">
        <f t="shared" si="74"/>
        <v>0</v>
      </c>
      <c r="O956" s="5">
        <f t="shared" si="75"/>
        <v>0</v>
      </c>
      <c r="P956" s="26">
        <v>41914</v>
      </c>
      <c r="Q956" s="6">
        <v>19.600000000000001</v>
      </c>
      <c r="R956" s="5">
        <v>3.46</v>
      </c>
      <c r="S956" s="6">
        <v>5.6</v>
      </c>
      <c r="T956" s="3"/>
    </row>
    <row r="957" spans="1:21" s="4" customFormat="1" ht="15" customHeight="1" x14ac:dyDescent="0.2">
      <c r="A957" s="4">
        <v>2014</v>
      </c>
      <c r="B957" s="4" t="s">
        <v>97</v>
      </c>
      <c r="C957" s="4">
        <v>1</v>
      </c>
      <c r="D957" s="4">
        <v>3</v>
      </c>
      <c r="E957" s="4" t="s">
        <v>20</v>
      </c>
      <c r="F957" s="4">
        <v>220</v>
      </c>
      <c r="G957" s="4">
        <v>2006</v>
      </c>
      <c r="H957" s="4" t="s">
        <v>34</v>
      </c>
      <c r="I957" s="5">
        <v>5.04</v>
      </c>
      <c r="J957" s="4">
        <v>8946</v>
      </c>
      <c r="K957" s="3">
        <v>1775</v>
      </c>
      <c r="L957" s="3"/>
      <c r="M957" s="32">
        <v>29.95</v>
      </c>
      <c r="N957" s="5">
        <f t="shared" si="74"/>
        <v>5.9424603174603172</v>
      </c>
      <c r="O957" s="5">
        <f t="shared" si="75"/>
        <v>6.6957299351665549</v>
      </c>
      <c r="P957" s="8">
        <v>41939</v>
      </c>
      <c r="Q957" s="6">
        <v>23.1</v>
      </c>
      <c r="R957" s="5">
        <v>3.14</v>
      </c>
      <c r="S957" s="6">
        <v>8.48</v>
      </c>
      <c r="T957" s="11"/>
    </row>
    <row r="958" spans="1:21" s="4" customFormat="1" x14ac:dyDescent="0.2">
      <c r="A958" s="4">
        <v>2014</v>
      </c>
      <c r="B958" s="4" t="s">
        <v>115</v>
      </c>
      <c r="C958" s="4">
        <v>1</v>
      </c>
      <c r="D958" s="4">
        <v>3</v>
      </c>
      <c r="E958" s="4" t="s">
        <v>20</v>
      </c>
      <c r="F958" s="4">
        <v>220</v>
      </c>
      <c r="G958" s="4">
        <v>2006</v>
      </c>
      <c r="H958" s="4" t="s">
        <v>34</v>
      </c>
      <c r="I958" s="5">
        <v>5.04</v>
      </c>
      <c r="J958" s="4">
        <v>8946</v>
      </c>
      <c r="K958" s="3">
        <v>1775</v>
      </c>
      <c r="L958" s="3"/>
      <c r="M958" s="4">
        <v>12.07</v>
      </c>
      <c r="N958" s="5">
        <f t="shared" si="74"/>
        <v>2.3948412698412698</v>
      </c>
      <c r="O958" s="5">
        <f t="shared" si="75"/>
        <v>2.6984126984126986</v>
      </c>
      <c r="P958" s="8">
        <v>41906</v>
      </c>
      <c r="Q958" s="6">
        <v>22.3</v>
      </c>
      <c r="R958" s="5">
        <v>3.09</v>
      </c>
      <c r="S958" s="6">
        <v>10.35</v>
      </c>
      <c r="T958" s="11"/>
      <c r="U958" s="11"/>
    </row>
    <row r="959" spans="1:21" x14ac:dyDescent="0.2">
      <c r="A959" s="4">
        <v>2014</v>
      </c>
      <c r="B959" s="4" t="s">
        <v>91</v>
      </c>
      <c r="C959" s="4">
        <v>2</v>
      </c>
      <c r="D959" s="4">
        <v>6</v>
      </c>
      <c r="E959" s="4" t="s">
        <v>20</v>
      </c>
      <c r="F959" s="4">
        <v>220</v>
      </c>
      <c r="G959" s="4">
        <v>1997</v>
      </c>
      <c r="H959" s="4" t="s">
        <v>14</v>
      </c>
      <c r="I959" s="5">
        <v>4.72</v>
      </c>
      <c r="J959" s="4">
        <v>6500</v>
      </c>
      <c r="K959" s="3">
        <v>1377</v>
      </c>
      <c r="L959" s="3"/>
      <c r="M959" s="5">
        <v>20.2</v>
      </c>
      <c r="N959" s="5">
        <f t="shared" si="74"/>
        <v>4.2796610169491522</v>
      </c>
      <c r="O959" s="5">
        <f t="shared" si="75"/>
        <v>6.2153846153846155</v>
      </c>
      <c r="P959" s="8">
        <v>41915</v>
      </c>
      <c r="Q959" s="6">
        <v>22.1</v>
      </c>
      <c r="R959" s="5">
        <v>3.08</v>
      </c>
      <c r="S959" s="6">
        <v>9.3800000000000008</v>
      </c>
    </row>
    <row r="960" spans="1:21" x14ac:dyDescent="0.2">
      <c r="A960" s="4">
        <v>2014</v>
      </c>
      <c r="B960" s="4" t="s">
        <v>97</v>
      </c>
      <c r="C960" s="4">
        <v>1</v>
      </c>
      <c r="D960" s="4">
        <v>2</v>
      </c>
      <c r="E960" s="4" t="s">
        <v>64</v>
      </c>
      <c r="F960" s="4">
        <v>667</v>
      </c>
      <c r="G960" s="4">
        <v>1977</v>
      </c>
      <c r="H960" s="4" t="s">
        <v>65</v>
      </c>
      <c r="I960" s="5">
        <v>2.41</v>
      </c>
      <c r="J960" s="4">
        <v>2500</v>
      </c>
      <c r="K960" s="3">
        <v>1184</v>
      </c>
      <c r="L960" s="3"/>
      <c r="M960" s="5"/>
      <c r="N960" s="5">
        <f t="shared" si="74"/>
        <v>0</v>
      </c>
      <c r="O960" s="5">
        <f t="shared" si="75"/>
        <v>0</v>
      </c>
      <c r="P960" s="8"/>
      <c r="Q960" s="6"/>
      <c r="R960" s="5"/>
      <c r="S960" s="6"/>
    </row>
    <row r="961" spans="1:19" x14ac:dyDescent="0.2">
      <c r="A961" s="4">
        <v>2014</v>
      </c>
      <c r="B961" s="4" t="s">
        <v>97</v>
      </c>
      <c r="C961" s="4">
        <v>1</v>
      </c>
      <c r="D961" s="4">
        <v>1</v>
      </c>
      <c r="E961" s="4" t="s">
        <v>64</v>
      </c>
      <c r="F961" s="4">
        <v>6</v>
      </c>
      <c r="G961" s="4">
        <v>1984</v>
      </c>
      <c r="H961" s="4" t="s">
        <v>65</v>
      </c>
      <c r="I961" s="5">
        <v>2.81</v>
      </c>
      <c r="J961" s="4">
        <v>2755</v>
      </c>
      <c r="K961" s="3">
        <v>1027</v>
      </c>
      <c r="L961" s="3"/>
      <c r="M961" s="5"/>
      <c r="N961" s="5">
        <f t="shared" si="74"/>
        <v>0</v>
      </c>
      <c r="O961" s="5">
        <f t="shared" si="75"/>
        <v>0</v>
      </c>
      <c r="P961" s="26"/>
      <c r="Q961" s="6"/>
      <c r="R961" s="5"/>
      <c r="S961" s="6"/>
    </row>
    <row r="962" spans="1:19" x14ac:dyDescent="0.2">
      <c r="A962" s="4">
        <v>2014</v>
      </c>
      <c r="B962" s="4" t="s">
        <v>97</v>
      </c>
      <c r="C962" s="4">
        <v>3</v>
      </c>
      <c r="D962" s="4">
        <v>4</v>
      </c>
      <c r="E962" s="4" t="s">
        <v>64</v>
      </c>
      <c r="F962" s="4"/>
      <c r="G962" s="4">
        <v>1977</v>
      </c>
      <c r="H962" s="4" t="s">
        <v>66</v>
      </c>
      <c r="I962" s="4">
        <v>1.1299999999999999</v>
      </c>
      <c r="J962" s="4">
        <v>745</v>
      </c>
      <c r="K962" s="3">
        <v>659</v>
      </c>
      <c r="L962" s="3"/>
      <c r="M962" s="5"/>
      <c r="N962" s="5">
        <f t="shared" si="74"/>
        <v>0</v>
      </c>
      <c r="O962" s="5">
        <f t="shared" si="75"/>
        <v>0</v>
      </c>
      <c r="P962" s="8"/>
      <c r="Q962" s="6"/>
      <c r="R962" s="5"/>
      <c r="S962" s="6"/>
    </row>
    <row r="963" spans="1:19" x14ac:dyDescent="0.2">
      <c r="A963" s="4">
        <v>2014</v>
      </c>
      <c r="B963" s="4" t="s">
        <v>119</v>
      </c>
      <c r="C963" s="4" t="s">
        <v>134</v>
      </c>
      <c r="E963" s="4" t="s">
        <v>70</v>
      </c>
      <c r="F963" s="4"/>
      <c r="G963" s="4"/>
      <c r="H963" s="4"/>
      <c r="I963" s="5">
        <v>10</v>
      </c>
      <c r="J963" s="3"/>
      <c r="K963" s="3"/>
      <c r="L963" s="3"/>
      <c r="M963" s="5"/>
      <c r="N963" s="5">
        <f t="shared" si="74"/>
        <v>0</v>
      </c>
      <c r="O963" s="5"/>
      <c r="P963" s="8">
        <v>41932</v>
      </c>
      <c r="Q963" s="6">
        <v>24.9</v>
      </c>
      <c r="R963" s="5">
        <v>3.27</v>
      </c>
      <c r="S963" s="6">
        <v>7.95</v>
      </c>
    </row>
    <row r="964" spans="1:19" x14ac:dyDescent="0.2">
      <c r="A964" s="4">
        <v>2014</v>
      </c>
      <c r="B964" s="4" t="s">
        <v>120</v>
      </c>
      <c r="C964" s="4" t="s">
        <v>134</v>
      </c>
      <c r="E964" s="4" t="s">
        <v>78</v>
      </c>
      <c r="F964" s="4"/>
      <c r="G964" s="4"/>
      <c r="H964" s="4"/>
      <c r="I964" s="5">
        <v>4</v>
      </c>
      <c r="J964" s="4"/>
      <c r="K964" s="3"/>
      <c r="L964" s="3"/>
      <c r="M964" s="5">
        <v>8.4</v>
      </c>
      <c r="N964" s="5">
        <f t="shared" si="74"/>
        <v>2.1</v>
      </c>
      <c r="O964" s="5"/>
      <c r="P964" s="26">
        <v>41926</v>
      </c>
      <c r="Q964" s="6">
        <v>23.1</v>
      </c>
      <c r="R964" s="5">
        <v>3.93</v>
      </c>
      <c r="S964" s="6">
        <v>5.33</v>
      </c>
    </row>
    <row r="965" spans="1:19" x14ac:dyDescent="0.2">
      <c r="A965" s="4">
        <v>2014</v>
      </c>
      <c r="B965" s="4" t="s">
        <v>121</v>
      </c>
      <c r="C965" s="4" t="s">
        <v>134</v>
      </c>
      <c r="E965" s="4" t="s">
        <v>78</v>
      </c>
      <c r="F965" s="4"/>
      <c r="G965" s="4"/>
      <c r="H965" s="4"/>
      <c r="I965" s="5">
        <v>4</v>
      </c>
      <c r="J965" s="5"/>
      <c r="K965" s="3"/>
      <c r="L965" s="3"/>
      <c r="M965" s="5">
        <v>16.86</v>
      </c>
      <c r="N965" s="5">
        <f t="shared" si="74"/>
        <v>4.2149999999999999</v>
      </c>
      <c r="O965" s="5"/>
      <c r="P965" s="8">
        <v>41930</v>
      </c>
      <c r="Q965" s="6">
        <v>23.7</v>
      </c>
      <c r="R965" s="5">
        <v>3.4</v>
      </c>
      <c r="S965" s="6">
        <v>8.4</v>
      </c>
    </row>
    <row r="966" spans="1:19" ht="15" x14ac:dyDescent="0.2">
      <c r="A966" s="4">
        <v>2014</v>
      </c>
      <c r="B966" s="4" t="s">
        <v>97</v>
      </c>
      <c r="C966" s="4">
        <v>2</v>
      </c>
      <c r="D966" s="4">
        <v>3</v>
      </c>
      <c r="E966" s="4" t="s">
        <v>78</v>
      </c>
      <c r="F966" s="4">
        <v>47</v>
      </c>
      <c r="G966" s="4">
        <v>2006</v>
      </c>
      <c r="H966" s="4" t="s">
        <v>34</v>
      </c>
      <c r="I966" s="5">
        <v>0.57999999999999996</v>
      </c>
      <c r="J966" s="4">
        <v>1040</v>
      </c>
      <c r="K966" s="3">
        <v>1793</v>
      </c>
      <c r="L966" s="3"/>
      <c r="M966" s="32">
        <v>2.68</v>
      </c>
      <c r="N966" s="5">
        <f t="shared" si="74"/>
        <v>4.6206896551724146</v>
      </c>
      <c r="O966" s="5">
        <f t="shared" ref="O966:O968" si="76">(M966*2000)/J966</f>
        <v>5.1538461538461542</v>
      </c>
      <c r="P966" s="8">
        <v>41923</v>
      </c>
      <c r="Q966" s="6">
        <v>21.2</v>
      </c>
      <c r="R966" s="5">
        <v>3.16</v>
      </c>
      <c r="S966" s="6">
        <v>7.13</v>
      </c>
    </row>
    <row r="967" spans="1:19" ht="15" x14ac:dyDescent="0.2">
      <c r="A967" s="4">
        <v>2014</v>
      </c>
      <c r="B967" s="4" t="s">
        <v>122</v>
      </c>
      <c r="C967" s="4">
        <v>1</v>
      </c>
      <c r="D967" s="4" t="s">
        <v>133</v>
      </c>
      <c r="E967" s="4" t="s">
        <v>78</v>
      </c>
      <c r="F967" s="4">
        <v>643</v>
      </c>
      <c r="G967" s="4">
        <v>2008</v>
      </c>
      <c r="H967" s="4" t="s">
        <v>76</v>
      </c>
      <c r="I967" s="5">
        <v>7.3900000000000006</v>
      </c>
      <c r="J967" s="4">
        <v>12550</v>
      </c>
      <c r="K967" s="3">
        <v>1698.2408660351825</v>
      </c>
      <c r="L967" s="3"/>
      <c r="M967" s="32">
        <v>41.95</v>
      </c>
      <c r="N967" s="5">
        <f t="shared" si="74"/>
        <v>5.6765899864682003</v>
      </c>
      <c r="O967" s="5">
        <f t="shared" si="76"/>
        <v>6.6852589641434266</v>
      </c>
      <c r="P967" s="8">
        <v>41920</v>
      </c>
      <c r="Q967" s="6">
        <v>22.5</v>
      </c>
      <c r="R967" s="5">
        <v>3.14</v>
      </c>
      <c r="S967" s="6">
        <v>6.3</v>
      </c>
    </row>
    <row r="968" spans="1:19" ht="15" x14ac:dyDescent="0.2">
      <c r="A968" s="4">
        <v>2014</v>
      </c>
      <c r="B968" s="4" t="s">
        <v>117</v>
      </c>
      <c r="C968" s="4">
        <v>1</v>
      </c>
      <c r="D968" s="8" t="s">
        <v>164</v>
      </c>
      <c r="E968" s="4" t="s">
        <v>78</v>
      </c>
      <c r="F968" s="4" t="s">
        <v>63</v>
      </c>
      <c r="G968" s="4">
        <v>2006</v>
      </c>
      <c r="H968" s="4" t="s">
        <v>34</v>
      </c>
      <c r="I968" s="5">
        <v>9.11</v>
      </c>
      <c r="J968" s="3">
        <v>17000</v>
      </c>
      <c r="K968" s="3">
        <v>1866.0812294182219</v>
      </c>
      <c r="L968" s="3"/>
      <c r="M968" s="32">
        <v>31.82</v>
      </c>
      <c r="N968" s="5">
        <f t="shared" si="74"/>
        <v>3.4928649835345777</v>
      </c>
      <c r="O968" s="5">
        <f t="shared" si="76"/>
        <v>3.743529411764706</v>
      </c>
      <c r="P968" s="26">
        <v>41919</v>
      </c>
      <c r="Q968" s="6">
        <v>21.2</v>
      </c>
      <c r="R968" s="5">
        <v>3.19</v>
      </c>
      <c r="S968" s="6">
        <v>8.1</v>
      </c>
    </row>
    <row r="969" spans="1:19" x14ac:dyDescent="0.2">
      <c r="A969" s="4">
        <v>2014</v>
      </c>
      <c r="B969" s="4" t="s">
        <v>91</v>
      </c>
      <c r="C969" s="4">
        <v>5</v>
      </c>
      <c r="D969" s="4" t="s">
        <v>154</v>
      </c>
      <c r="E969" s="4" t="s">
        <v>78</v>
      </c>
      <c r="F969" s="4" t="s">
        <v>9</v>
      </c>
      <c r="G969" s="4" t="s">
        <v>21</v>
      </c>
      <c r="H969" s="4" t="s">
        <v>22</v>
      </c>
      <c r="I969" s="5">
        <v>1.78</v>
      </c>
      <c r="J969" s="4">
        <v>2158</v>
      </c>
      <c r="K969" s="3">
        <v>1212</v>
      </c>
      <c r="L969" s="3"/>
      <c r="M969" s="5">
        <v>9.23</v>
      </c>
      <c r="N969" s="5">
        <f t="shared" si="74"/>
        <v>5.1853932584269664</v>
      </c>
      <c r="O969" s="5">
        <f t="shared" ref="O969" si="77">(M969*2000)/J969</f>
        <v>8.5542168674698793</v>
      </c>
      <c r="P969" s="8">
        <v>41911</v>
      </c>
      <c r="Q969" s="6">
        <v>21.9</v>
      </c>
      <c r="R969" s="5">
        <v>3.23</v>
      </c>
      <c r="S969" s="6">
        <v>6.98</v>
      </c>
    </row>
    <row r="970" spans="1:19" ht="15" x14ac:dyDescent="0.2">
      <c r="A970" s="4">
        <v>2014</v>
      </c>
      <c r="B970" s="4" t="s">
        <v>162</v>
      </c>
      <c r="C970" s="4" t="s">
        <v>134</v>
      </c>
      <c r="E970" s="4" t="s">
        <v>78</v>
      </c>
      <c r="F970" s="4"/>
      <c r="G970" s="4"/>
      <c r="H970" s="4"/>
      <c r="I970" s="5">
        <v>2</v>
      </c>
      <c r="J970" s="4"/>
      <c r="K970" s="3"/>
      <c r="L970" s="3"/>
      <c r="M970" s="33">
        <v>17.98</v>
      </c>
      <c r="N970" s="5">
        <f t="shared" si="74"/>
        <v>8.99</v>
      </c>
      <c r="O970" s="5"/>
      <c r="P970" s="8">
        <v>41925</v>
      </c>
      <c r="Q970" s="6">
        <v>21.5</v>
      </c>
      <c r="R970" s="5">
        <v>3.43</v>
      </c>
      <c r="S970" s="6">
        <v>4.8</v>
      </c>
    </row>
    <row r="971" spans="1:19" x14ac:dyDescent="0.2">
      <c r="A971" s="4">
        <v>2014</v>
      </c>
      <c r="B971" s="4" t="s">
        <v>118</v>
      </c>
      <c r="C971" s="4" t="s">
        <v>134</v>
      </c>
      <c r="E971" s="4" t="s">
        <v>78</v>
      </c>
      <c r="F971" s="4"/>
      <c r="G971" s="4"/>
      <c r="H971" s="4"/>
      <c r="I971" s="5">
        <v>2</v>
      </c>
      <c r="J971" s="4"/>
      <c r="K971" s="3"/>
      <c r="L971" s="3"/>
      <c r="M971" s="5">
        <v>7.8</v>
      </c>
      <c r="N971" s="5">
        <f t="shared" si="74"/>
        <v>3.9</v>
      </c>
      <c r="O971" s="5"/>
      <c r="P971" s="8">
        <v>41922</v>
      </c>
      <c r="Q971" s="6"/>
      <c r="R971" s="5"/>
      <c r="S971" s="6"/>
    </row>
    <row r="972" spans="1:19" x14ac:dyDescent="0.2">
      <c r="A972" s="4">
        <v>2014</v>
      </c>
      <c r="B972" s="4" t="s">
        <v>115</v>
      </c>
      <c r="C972" s="4">
        <v>1</v>
      </c>
      <c r="D972" s="4">
        <v>1</v>
      </c>
      <c r="E972" s="4" t="s">
        <v>114</v>
      </c>
      <c r="F972" s="4" t="s">
        <v>36</v>
      </c>
      <c r="G972" s="4">
        <v>2006</v>
      </c>
      <c r="H972" s="4" t="s">
        <v>61</v>
      </c>
      <c r="I972" s="5">
        <v>13.45</v>
      </c>
      <c r="J972" s="4">
        <v>8326</v>
      </c>
      <c r="K972" s="3">
        <v>1500</v>
      </c>
      <c r="L972" s="3"/>
      <c r="M972" s="5">
        <v>61.53</v>
      </c>
      <c r="N972" s="5">
        <f>M972/I972</f>
        <v>4.5747211895910782</v>
      </c>
      <c r="O972" s="5">
        <f t="shared" ref="O972:O981" si="78">(M972*2000)/J972</f>
        <v>14.780206581791976</v>
      </c>
      <c r="P972" s="8">
        <v>41904</v>
      </c>
      <c r="Q972" s="6">
        <v>26.9</v>
      </c>
      <c r="R972" s="5">
        <v>3.44</v>
      </c>
      <c r="S972" s="6">
        <v>9.6</v>
      </c>
    </row>
    <row r="973" spans="1:19" x14ac:dyDescent="0.2">
      <c r="A973" s="4">
        <v>2014</v>
      </c>
      <c r="B973" s="4" t="s">
        <v>91</v>
      </c>
      <c r="C973" s="4">
        <v>3</v>
      </c>
      <c r="D973" s="4">
        <v>2</v>
      </c>
      <c r="E973" s="4" t="s">
        <v>114</v>
      </c>
      <c r="F973" s="4">
        <v>339</v>
      </c>
      <c r="G973" s="4">
        <v>1997</v>
      </c>
      <c r="H973" s="4" t="s">
        <v>113</v>
      </c>
      <c r="I973" s="5">
        <v>1.1000000000000001</v>
      </c>
      <c r="J973" s="3">
        <v>780</v>
      </c>
      <c r="K973" s="3">
        <v>2971.4285714285711</v>
      </c>
      <c r="L973" s="3"/>
      <c r="M973" s="5">
        <v>4.53</v>
      </c>
      <c r="N973" s="5">
        <f t="shared" ref="N973:N981" si="79">M973/I973</f>
        <v>4.1181818181818182</v>
      </c>
      <c r="O973" s="5">
        <f t="shared" si="78"/>
        <v>11.615384615384615</v>
      </c>
      <c r="P973" s="26">
        <v>41901</v>
      </c>
      <c r="Q973" s="6">
        <v>25.1</v>
      </c>
      <c r="R973" s="5">
        <v>3.26</v>
      </c>
      <c r="S973" s="6">
        <v>8.7799999999999994</v>
      </c>
    </row>
    <row r="974" spans="1:19" x14ac:dyDescent="0.2">
      <c r="A974" s="4">
        <v>2014</v>
      </c>
      <c r="B974" s="4" t="s">
        <v>91</v>
      </c>
      <c r="C974" s="4">
        <v>4</v>
      </c>
      <c r="D974" s="4">
        <v>4</v>
      </c>
      <c r="E974" s="4" t="s">
        <v>114</v>
      </c>
      <c r="F974" s="4" t="s">
        <v>36</v>
      </c>
      <c r="G974" s="4">
        <v>1965</v>
      </c>
      <c r="H974" s="4" t="s">
        <v>37</v>
      </c>
      <c r="I974" s="5">
        <v>0.83</v>
      </c>
      <c r="J974" s="3">
        <v>550</v>
      </c>
      <c r="K974" s="3">
        <v>343.75</v>
      </c>
      <c r="L974" s="3"/>
      <c r="M974" s="5">
        <v>4.49</v>
      </c>
      <c r="N974" s="5">
        <f t="shared" si="79"/>
        <v>5.4096385542168681</v>
      </c>
      <c r="O974" s="5">
        <f t="shared" si="78"/>
        <v>16.327272727272728</v>
      </c>
      <c r="P974" s="26">
        <v>41901</v>
      </c>
      <c r="Q974" s="6">
        <v>25.1</v>
      </c>
      <c r="R974" s="5">
        <v>3.26</v>
      </c>
      <c r="S974" s="6">
        <v>8.7799999999999994</v>
      </c>
    </row>
    <row r="975" spans="1:19" ht="15" x14ac:dyDescent="0.2">
      <c r="A975" s="4">
        <v>2014</v>
      </c>
      <c r="B975" s="4" t="s">
        <v>91</v>
      </c>
      <c r="C975" s="4">
        <v>1</v>
      </c>
      <c r="D975" s="4">
        <v>1</v>
      </c>
      <c r="E975" s="4" t="s">
        <v>38</v>
      </c>
      <c r="F975" s="4" t="s">
        <v>39</v>
      </c>
      <c r="G975" s="4">
        <v>1997</v>
      </c>
      <c r="H975" s="4" t="s">
        <v>40</v>
      </c>
      <c r="I975" s="5">
        <v>0.66</v>
      </c>
      <c r="J975" s="3">
        <v>1515</v>
      </c>
      <c r="K975" s="3">
        <v>2295.4545454545455</v>
      </c>
      <c r="L975" s="3"/>
      <c r="M975" s="32">
        <v>2.8</v>
      </c>
      <c r="N975" s="5">
        <f t="shared" si="79"/>
        <v>4.2424242424242422</v>
      </c>
      <c r="O975" s="5">
        <f t="shared" si="78"/>
        <v>3.6963696369636962</v>
      </c>
      <c r="P975" s="26">
        <v>41940</v>
      </c>
      <c r="Q975" s="6">
        <v>25.9</v>
      </c>
      <c r="R975" s="5">
        <v>3.78</v>
      </c>
      <c r="S975" s="6">
        <v>3.86</v>
      </c>
    </row>
    <row r="976" spans="1:19" ht="15" x14ac:dyDescent="0.2">
      <c r="A976" s="4">
        <v>2014</v>
      </c>
      <c r="B976" s="4" t="s">
        <v>91</v>
      </c>
      <c r="C976" s="4">
        <v>2</v>
      </c>
      <c r="D976" s="4">
        <v>9</v>
      </c>
      <c r="E976" s="4" t="s">
        <v>38</v>
      </c>
      <c r="F976" s="4">
        <v>509</v>
      </c>
      <c r="G976" s="4">
        <v>1998</v>
      </c>
      <c r="H976" s="4" t="s">
        <v>14</v>
      </c>
      <c r="I976" s="5">
        <v>0.91</v>
      </c>
      <c r="J976" s="3">
        <v>1257</v>
      </c>
      <c r="K976" s="3">
        <v>1381.3186813186812</v>
      </c>
      <c r="L976" s="3"/>
      <c r="M976" s="32">
        <v>1.7</v>
      </c>
      <c r="N976" s="5">
        <f t="shared" si="79"/>
        <v>1.8681318681318679</v>
      </c>
      <c r="O976" s="5">
        <f t="shared" si="78"/>
        <v>2.7048528241845666</v>
      </c>
      <c r="P976" s="26">
        <v>41940</v>
      </c>
      <c r="Q976" s="6">
        <v>26.9</v>
      </c>
      <c r="R976" s="5">
        <v>3.93</v>
      </c>
      <c r="S976" s="6">
        <v>3.68</v>
      </c>
    </row>
    <row r="977" spans="1:19" ht="15" x14ac:dyDescent="0.2">
      <c r="A977" s="4">
        <v>2014</v>
      </c>
      <c r="B977" s="4" t="s">
        <v>91</v>
      </c>
      <c r="C977" s="4">
        <v>2</v>
      </c>
      <c r="D977" s="4">
        <v>8</v>
      </c>
      <c r="E977" s="4" t="s">
        <v>38</v>
      </c>
      <c r="F977" s="4">
        <v>346</v>
      </c>
      <c r="G977" s="4">
        <v>1998</v>
      </c>
      <c r="H977" s="4" t="s">
        <v>14</v>
      </c>
      <c r="I977" s="5">
        <v>1.1599999999999999</v>
      </c>
      <c r="J977" s="3">
        <v>1600</v>
      </c>
      <c r="K977" s="3">
        <v>1379.3103448275863</v>
      </c>
      <c r="L977" s="3"/>
      <c r="M977" s="32">
        <v>1.4</v>
      </c>
      <c r="N977" s="5">
        <f t="shared" si="79"/>
        <v>1.2068965517241379</v>
      </c>
      <c r="O977" s="5">
        <f t="shared" si="78"/>
        <v>1.75</v>
      </c>
      <c r="P977" s="26">
        <v>41940</v>
      </c>
      <c r="Q977" s="6">
        <v>26.9</v>
      </c>
      <c r="R977" s="5">
        <v>3.93</v>
      </c>
      <c r="S977" s="6">
        <v>3.68</v>
      </c>
    </row>
    <row r="978" spans="1:19" x14ac:dyDescent="0.2">
      <c r="A978" s="4">
        <v>2014</v>
      </c>
      <c r="B978" s="4" t="s">
        <v>91</v>
      </c>
      <c r="C978" s="4">
        <v>2</v>
      </c>
      <c r="D978" s="4">
        <v>2</v>
      </c>
      <c r="E978" s="4" t="s">
        <v>38</v>
      </c>
      <c r="F978" s="4">
        <v>181</v>
      </c>
      <c r="G978" s="4">
        <v>1998</v>
      </c>
      <c r="H978" s="4" t="s">
        <v>41</v>
      </c>
      <c r="I978" s="5">
        <v>3.27</v>
      </c>
      <c r="J978" s="4">
        <v>4500</v>
      </c>
      <c r="K978" s="3">
        <v>1376.1467889908256</v>
      </c>
      <c r="L978" s="3"/>
      <c r="M978" s="5">
        <v>16.260000000000002</v>
      </c>
      <c r="N978" s="5">
        <f t="shared" si="79"/>
        <v>4.9724770642201843</v>
      </c>
      <c r="O978" s="5">
        <f t="shared" si="78"/>
        <v>7.2266666666666675</v>
      </c>
      <c r="P978" s="26">
        <v>41940</v>
      </c>
      <c r="Q978" s="6">
        <v>26.9</v>
      </c>
      <c r="R978" s="5">
        <v>3.8</v>
      </c>
      <c r="S978" s="6">
        <v>3.6</v>
      </c>
    </row>
    <row r="979" spans="1:19" ht="15" x14ac:dyDescent="0.2">
      <c r="A979" s="4">
        <v>2014</v>
      </c>
      <c r="B979" s="4" t="s">
        <v>91</v>
      </c>
      <c r="C979" s="4">
        <v>2</v>
      </c>
      <c r="D979" s="4">
        <v>7</v>
      </c>
      <c r="E979" s="4" t="s">
        <v>38</v>
      </c>
      <c r="F979" s="4">
        <v>347</v>
      </c>
      <c r="G979" s="4">
        <v>1998</v>
      </c>
      <c r="H979" s="4" t="s">
        <v>14</v>
      </c>
      <c r="I979" s="5">
        <v>3.27</v>
      </c>
      <c r="J979" s="3">
        <v>4500</v>
      </c>
      <c r="K979" s="3">
        <v>1376.1467889908256</v>
      </c>
      <c r="L979" s="3"/>
      <c r="M979" s="32">
        <v>8.07</v>
      </c>
      <c r="N979" s="5">
        <f t="shared" si="79"/>
        <v>2.4678899082568808</v>
      </c>
      <c r="O979" s="5">
        <f t="shared" si="78"/>
        <v>3.5866666666666664</v>
      </c>
      <c r="P979" s="26">
        <v>41940</v>
      </c>
      <c r="Q979" s="6">
        <v>26.9</v>
      </c>
      <c r="R979" s="5">
        <v>3.93</v>
      </c>
      <c r="S979" s="6">
        <v>3.68</v>
      </c>
    </row>
    <row r="980" spans="1:19" x14ac:dyDescent="0.2">
      <c r="A980" s="4">
        <v>2014</v>
      </c>
      <c r="B980" s="4" t="s">
        <v>91</v>
      </c>
      <c r="C980" s="4">
        <v>6</v>
      </c>
      <c r="D980" s="4" t="s">
        <v>153</v>
      </c>
      <c r="E980" s="4" t="s">
        <v>38</v>
      </c>
      <c r="F980" s="4">
        <v>181</v>
      </c>
      <c r="G980" s="4">
        <v>2003</v>
      </c>
      <c r="H980" s="4" t="s">
        <v>34</v>
      </c>
      <c r="I980" s="5">
        <v>4.4000000000000004</v>
      </c>
      <c r="J980" s="3">
        <v>8263</v>
      </c>
      <c r="K980" s="3">
        <v>1877</v>
      </c>
      <c r="L980" s="3"/>
      <c r="M980" s="5"/>
      <c r="N980" s="5">
        <f t="shared" si="79"/>
        <v>0</v>
      </c>
      <c r="O980" s="5">
        <f t="shared" si="78"/>
        <v>0</v>
      </c>
      <c r="P980" s="26">
        <v>41940</v>
      </c>
      <c r="Q980" s="6">
        <v>27</v>
      </c>
      <c r="R980" s="5">
        <v>3.86</v>
      </c>
      <c r="S980" s="6">
        <v>3.75</v>
      </c>
    </row>
    <row r="981" spans="1:19" x14ac:dyDescent="0.2">
      <c r="A981" s="4">
        <v>2014</v>
      </c>
      <c r="B981" s="4" t="s">
        <v>91</v>
      </c>
      <c r="C981" s="4">
        <v>1</v>
      </c>
      <c r="D981" s="4">
        <v>3</v>
      </c>
      <c r="E981" s="4" t="s">
        <v>25</v>
      </c>
      <c r="F981" s="4">
        <v>7114</v>
      </c>
      <c r="G981" s="4">
        <v>1983</v>
      </c>
      <c r="H981" s="4" t="s">
        <v>98</v>
      </c>
      <c r="I981" s="5">
        <v>4.4800000000000004</v>
      </c>
      <c r="J981" s="4">
        <v>4833</v>
      </c>
      <c r="K981" s="3">
        <v>1078.7946428571427</v>
      </c>
      <c r="L981" s="3"/>
      <c r="M981" s="5">
        <v>12.88</v>
      </c>
      <c r="N981" s="5">
        <f t="shared" si="79"/>
        <v>2.875</v>
      </c>
      <c r="O981" s="5">
        <f t="shared" si="78"/>
        <v>5.3300227601903583</v>
      </c>
      <c r="P981" s="26">
        <v>41909</v>
      </c>
      <c r="Q981" s="6">
        <v>31.6</v>
      </c>
      <c r="R981" s="5">
        <v>3.64</v>
      </c>
      <c r="S981" s="6">
        <v>9.08</v>
      </c>
    </row>
    <row r="982" spans="1:19" ht="15" x14ac:dyDescent="0.2">
      <c r="A982" s="4">
        <v>2014</v>
      </c>
      <c r="B982" s="4" t="s">
        <v>129</v>
      </c>
      <c r="C982" s="4" t="s">
        <v>134</v>
      </c>
      <c r="E982" s="4" t="s">
        <v>26</v>
      </c>
      <c r="F982" s="4"/>
      <c r="G982" s="4"/>
      <c r="H982" s="4"/>
      <c r="I982" s="5"/>
      <c r="J982" s="4"/>
      <c r="K982" s="3"/>
      <c r="L982" s="3"/>
      <c r="M982" s="33">
        <v>34.74</v>
      </c>
      <c r="N982" s="5"/>
      <c r="O982" s="5"/>
      <c r="P982" s="26">
        <v>41928</v>
      </c>
      <c r="Q982" s="6">
        <v>21.3</v>
      </c>
      <c r="R982" s="5">
        <v>3.13</v>
      </c>
      <c r="S982" s="6">
        <v>7.01</v>
      </c>
    </row>
    <row r="983" spans="1:19" ht="15" x14ac:dyDescent="0.2">
      <c r="A983" s="4">
        <v>2014</v>
      </c>
      <c r="B983" s="4" t="s">
        <v>97</v>
      </c>
      <c r="C983" s="4">
        <v>2</v>
      </c>
      <c r="D983" s="4">
        <v>9</v>
      </c>
      <c r="E983" s="4" t="s">
        <v>26</v>
      </c>
      <c r="F983" s="4">
        <v>54</v>
      </c>
      <c r="G983" s="4">
        <v>2009</v>
      </c>
      <c r="H983" s="4" t="s">
        <v>44</v>
      </c>
      <c r="I983" s="5">
        <v>1.9</v>
      </c>
      <c r="J983" s="3">
        <v>3054</v>
      </c>
      <c r="K983" s="3">
        <v>1607</v>
      </c>
      <c r="L983" s="3"/>
      <c r="M983" s="32">
        <v>8.77</v>
      </c>
      <c r="N983" s="5">
        <f t="shared" ref="N983:N1024" si="80">M983/I983</f>
        <v>4.6157894736842104</v>
      </c>
      <c r="O983" s="5">
        <f t="shared" ref="O983:O984" si="81">(M983*2000)/J983</f>
        <v>5.743287491814014</v>
      </c>
      <c r="P983" s="8">
        <v>41922</v>
      </c>
      <c r="Q983" s="6">
        <v>19.2</v>
      </c>
      <c r="R983" s="5">
        <v>3.28</v>
      </c>
      <c r="S983" s="6">
        <v>8.93</v>
      </c>
    </row>
    <row r="984" spans="1:19" x14ac:dyDescent="0.2">
      <c r="A984" s="4">
        <v>2014</v>
      </c>
      <c r="B984" s="4" t="s">
        <v>91</v>
      </c>
      <c r="C984" s="4">
        <v>1</v>
      </c>
      <c r="D984" s="4">
        <v>5</v>
      </c>
      <c r="E984" s="4" t="s">
        <v>26</v>
      </c>
      <c r="F984" s="4">
        <v>55</v>
      </c>
      <c r="G984" s="4">
        <v>1997</v>
      </c>
      <c r="H984" s="4" t="s">
        <v>27</v>
      </c>
      <c r="I984" s="5">
        <v>3.63</v>
      </c>
      <c r="J984" s="3">
        <v>4059</v>
      </c>
      <c r="K984" s="3">
        <v>1376</v>
      </c>
      <c r="L984" s="3"/>
      <c r="M984" s="5">
        <v>22</v>
      </c>
      <c r="N984" s="5">
        <f t="shared" si="80"/>
        <v>6.0606060606060606</v>
      </c>
      <c r="O984" s="5">
        <f t="shared" si="81"/>
        <v>10.840108401084011</v>
      </c>
      <c r="P984" s="26">
        <v>41915</v>
      </c>
      <c r="Q984" s="6">
        <v>20.7</v>
      </c>
      <c r="R984" s="5">
        <v>3.62</v>
      </c>
      <c r="S984" s="6">
        <v>5.0999999999999996</v>
      </c>
    </row>
    <row r="985" spans="1:19" ht="15" x14ac:dyDescent="0.2">
      <c r="A985" s="4">
        <v>2014</v>
      </c>
      <c r="B985" s="4" t="s">
        <v>120</v>
      </c>
      <c r="C985" s="4" t="s">
        <v>134</v>
      </c>
      <c r="E985" s="4" t="s">
        <v>73</v>
      </c>
      <c r="F985" s="4"/>
      <c r="G985" s="4"/>
      <c r="H985" s="4"/>
      <c r="I985" s="5">
        <v>4</v>
      </c>
      <c r="J985" s="3"/>
      <c r="K985" s="3"/>
      <c r="L985" s="3"/>
      <c r="M985" s="33">
        <v>27.1</v>
      </c>
      <c r="N985" s="5">
        <f t="shared" si="80"/>
        <v>6.7750000000000004</v>
      </c>
      <c r="O985" s="5"/>
      <c r="P985" s="8">
        <v>41926</v>
      </c>
      <c r="Q985" s="6">
        <v>22.5</v>
      </c>
      <c r="R985" s="5">
        <v>3.37</v>
      </c>
      <c r="S985" s="6">
        <v>6.08</v>
      </c>
    </row>
    <row r="986" spans="1:19" x14ac:dyDescent="0.2">
      <c r="A986" s="4">
        <v>2014</v>
      </c>
      <c r="B986" s="4" t="s">
        <v>163</v>
      </c>
      <c r="C986" s="4" t="s">
        <v>135</v>
      </c>
      <c r="E986" s="4" t="s">
        <v>73</v>
      </c>
      <c r="F986" s="4"/>
      <c r="G986" s="4"/>
      <c r="H986" s="4"/>
      <c r="I986" s="5">
        <v>5</v>
      </c>
      <c r="J986" s="4"/>
      <c r="K986" s="3"/>
      <c r="L986" s="3"/>
      <c r="M986" s="5">
        <v>30.74</v>
      </c>
      <c r="N986" s="5">
        <f t="shared" si="80"/>
        <v>6.1479999999999997</v>
      </c>
      <c r="O986" s="5"/>
      <c r="P986" s="26">
        <v>41928</v>
      </c>
      <c r="Q986" s="6">
        <v>23.1</v>
      </c>
      <c r="R986" s="5">
        <v>3.19</v>
      </c>
      <c r="S986" s="6">
        <v>8.4</v>
      </c>
    </row>
    <row r="987" spans="1:19" ht="15" x14ac:dyDescent="0.2">
      <c r="A987" s="4">
        <v>2014</v>
      </c>
      <c r="B987" s="4" t="s">
        <v>125</v>
      </c>
      <c r="C987" s="4" t="s">
        <v>135</v>
      </c>
      <c r="E987" s="4" t="s">
        <v>73</v>
      </c>
      <c r="F987" s="4"/>
      <c r="G987" s="4"/>
      <c r="H987" s="4"/>
      <c r="I987" s="5">
        <v>2.5</v>
      </c>
      <c r="J987" s="3"/>
      <c r="K987" s="3"/>
      <c r="L987" s="3"/>
      <c r="M987" s="33">
        <v>11.9</v>
      </c>
      <c r="N987" s="5">
        <f t="shared" si="80"/>
        <v>4.76</v>
      </c>
      <c r="O987" s="5"/>
      <c r="P987" s="8">
        <v>41919</v>
      </c>
      <c r="Q987" s="6">
        <v>22.2</v>
      </c>
      <c r="R987" s="5">
        <v>3.26</v>
      </c>
      <c r="S987" s="6">
        <v>7.65</v>
      </c>
    </row>
    <row r="988" spans="1:19" ht="15" x14ac:dyDescent="0.2">
      <c r="A988" s="4">
        <v>2014</v>
      </c>
      <c r="B988" s="4" t="s">
        <v>162</v>
      </c>
      <c r="C988" s="4" t="s">
        <v>134</v>
      </c>
      <c r="E988" s="4" t="s">
        <v>73</v>
      </c>
      <c r="F988" s="4"/>
      <c r="G988" s="4"/>
      <c r="H988" s="4"/>
      <c r="I988" s="5">
        <v>6</v>
      </c>
      <c r="J988" s="4"/>
      <c r="K988" s="3"/>
      <c r="L988" s="3"/>
      <c r="M988" s="33">
        <v>7.5</v>
      </c>
      <c r="N988" s="5">
        <f t="shared" si="80"/>
        <v>1.25</v>
      </c>
      <c r="O988" s="5"/>
      <c r="P988" s="26">
        <v>41920</v>
      </c>
      <c r="Q988" s="6">
        <v>21.7</v>
      </c>
      <c r="R988" s="5">
        <v>3.22</v>
      </c>
      <c r="S988" s="6">
        <v>8.48</v>
      </c>
    </row>
    <row r="989" spans="1:19" x14ac:dyDescent="0.2">
      <c r="A989" s="4">
        <v>2014</v>
      </c>
      <c r="B989" s="4" t="s">
        <v>119</v>
      </c>
      <c r="C989" s="4" t="s">
        <v>134</v>
      </c>
      <c r="E989" s="4" t="s">
        <v>72</v>
      </c>
      <c r="F989" s="4"/>
      <c r="G989" s="4"/>
      <c r="H989" s="4"/>
      <c r="I989" s="5">
        <v>4</v>
      </c>
      <c r="J989" s="3"/>
      <c r="K989" s="3"/>
      <c r="L989" s="4"/>
      <c r="M989" s="5">
        <v>7.1</v>
      </c>
      <c r="N989" s="5">
        <f t="shared" si="80"/>
        <v>1.7749999999999999</v>
      </c>
      <c r="O989" s="5"/>
      <c r="P989" s="8">
        <v>41928</v>
      </c>
      <c r="Q989" s="6">
        <v>23.6</v>
      </c>
      <c r="R989" s="5">
        <v>3.34</v>
      </c>
      <c r="S989" s="6">
        <v>6.2</v>
      </c>
    </row>
    <row r="990" spans="1:19" ht="15" x14ac:dyDescent="0.2">
      <c r="A990" s="4">
        <v>2014</v>
      </c>
      <c r="B990" s="4" t="s">
        <v>120</v>
      </c>
      <c r="C990" s="4" t="s">
        <v>134</v>
      </c>
      <c r="E990" s="4" t="s">
        <v>43</v>
      </c>
      <c r="F990" s="4"/>
      <c r="G990" s="4"/>
      <c r="H990" s="4"/>
      <c r="I990" s="5">
        <v>4</v>
      </c>
      <c r="J990" s="5"/>
      <c r="K990" s="3"/>
      <c r="L990" s="3"/>
      <c r="M990" s="5">
        <v>18</v>
      </c>
      <c r="N990" s="5">
        <f t="shared" si="80"/>
        <v>4.5</v>
      </c>
      <c r="O990" s="33">
        <v>9.35</v>
      </c>
      <c r="P990" s="26">
        <v>41927</v>
      </c>
      <c r="Q990" s="6">
        <v>22.6</v>
      </c>
      <c r="R990" s="5">
        <v>3.36</v>
      </c>
      <c r="S990" s="6">
        <v>5.89</v>
      </c>
    </row>
    <row r="991" spans="1:19" ht="15" x14ac:dyDescent="0.2">
      <c r="A991" s="4">
        <v>2014</v>
      </c>
      <c r="B991" s="4" t="s">
        <v>125</v>
      </c>
      <c r="C991" s="4" t="s">
        <v>134</v>
      </c>
      <c r="E991" s="4" t="s">
        <v>43</v>
      </c>
      <c r="F991" s="4"/>
      <c r="G991" s="4"/>
      <c r="H991" s="4"/>
      <c r="I991" s="5">
        <v>4.5</v>
      </c>
      <c r="J991" s="4"/>
      <c r="K991" s="3"/>
      <c r="L991" s="3"/>
      <c r="M991" s="5">
        <v>23.8</v>
      </c>
      <c r="N991" s="5">
        <f t="shared" si="80"/>
        <v>5.2888888888888888</v>
      </c>
      <c r="O991" s="33">
        <v>23.8</v>
      </c>
      <c r="P991" s="26">
        <v>41918</v>
      </c>
      <c r="Q991" s="6">
        <v>21</v>
      </c>
      <c r="R991" s="5">
        <v>3.4</v>
      </c>
      <c r="S991" s="6">
        <v>8.2899999999999991</v>
      </c>
    </row>
    <row r="992" spans="1:19" ht="15" x14ac:dyDescent="0.2">
      <c r="A992" s="4">
        <v>2014</v>
      </c>
      <c r="B992" s="4" t="s">
        <v>119</v>
      </c>
      <c r="C992" s="4" t="s">
        <v>134</v>
      </c>
      <c r="E992" s="4" t="s">
        <v>43</v>
      </c>
      <c r="F992" s="4"/>
      <c r="G992" s="4"/>
      <c r="H992" s="4"/>
      <c r="I992" s="5">
        <v>4</v>
      </c>
      <c r="J992" s="3"/>
      <c r="K992" s="3"/>
      <c r="L992" s="3"/>
      <c r="M992" s="33">
        <v>29.34</v>
      </c>
      <c r="N992" s="5">
        <f t="shared" si="80"/>
        <v>7.335</v>
      </c>
      <c r="O992" s="5"/>
      <c r="P992" s="26">
        <v>41928</v>
      </c>
      <c r="Q992" s="6">
        <v>21.9</v>
      </c>
      <c r="R992" s="5">
        <v>3.27</v>
      </c>
      <c r="S992" s="6">
        <v>9.26</v>
      </c>
    </row>
    <row r="993" spans="1:19" ht="15" x14ac:dyDescent="0.2">
      <c r="A993" s="4">
        <v>2014</v>
      </c>
      <c r="B993" s="4" t="s">
        <v>97</v>
      </c>
      <c r="C993" s="4">
        <v>1</v>
      </c>
      <c r="D993" s="4">
        <v>4</v>
      </c>
      <c r="E993" s="4" t="s">
        <v>43</v>
      </c>
      <c r="F993" s="4">
        <v>115</v>
      </c>
      <c r="G993" s="4">
        <v>1998</v>
      </c>
      <c r="H993" s="4" t="s">
        <v>67</v>
      </c>
      <c r="I993" s="5">
        <v>2.65</v>
      </c>
      <c r="J993" s="3">
        <v>3200</v>
      </c>
      <c r="K993" s="3">
        <v>1208</v>
      </c>
      <c r="L993" s="3"/>
      <c r="M993" s="32">
        <v>10.26</v>
      </c>
      <c r="N993" s="5">
        <f t="shared" si="80"/>
        <v>3.8716981132075472</v>
      </c>
      <c r="O993" s="5">
        <f t="shared" ref="O993:O1024" si="82">(M993*2000)/J993</f>
        <v>6.4124999999999996</v>
      </c>
      <c r="P993" s="26">
        <v>41923</v>
      </c>
      <c r="Q993" s="6">
        <v>24.8</v>
      </c>
      <c r="R993" s="5">
        <v>3.47</v>
      </c>
      <c r="S993" s="6">
        <v>11.7</v>
      </c>
    </row>
    <row r="994" spans="1:19" ht="15" x14ac:dyDescent="0.2">
      <c r="A994" s="4">
        <v>2014</v>
      </c>
      <c r="B994" s="4" t="s">
        <v>97</v>
      </c>
      <c r="C994" s="4">
        <v>1</v>
      </c>
      <c r="D994" s="4">
        <v>5</v>
      </c>
      <c r="E994" s="4" t="s">
        <v>43</v>
      </c>
      <c r="F994" s="4">
        <v>828</v>
      </c>
      <c r="G994" s="4">
        <v>2006</v>
      </c>
      <c r="H994" s="4" t="s">
        <v>34</v>
      </c>
      <c r="I994" s="5">
        <v>1.04</v>
      </c>
      <c r="J994" s="3">
        <v>1838</v>
      </c>
      <c r="K994" s="3">
        <v>1767</v>
      </c>
      <c r="L994" s="3"/>
      <c r="M994" s="32">
        <v>3.6</v>
      </c>
      <c r="N994" s="5">
        <f t="shared" si="80"/>
        <v>3.4615384615384617</v>
      </c>
      <c r="O994" s="5">
        <f t="shared" si="82"/>
        <v>3.9173014145810665</v>
      </c>
      <c r="P994" s="26">
        <v>41923</v>
      </c>
      <c r="Q994" s="6">
        <v>24.3</v>
      </c>
      <c r="R994" s="5">
        <v>3.48</v>
      </c>
      <c r="S994" s="6">
        <v>8</v>
      </c>
    </row>
    <row r="995" spans="1:19" ht="15" x14ac:dyDescent="0.2">
      <c r="A995" s="4">
        <v>2014</v>
      </c>
      <c r="B995" s="4" t="s">
        <v>97</v>
      </c>
      <c r="C995" s="4">
        <v>2</v>
      </c>
      <c r="D995" s="4">
        <v>6</v>
      </c>
      <c r="E995" s="4" t="s">
        <v>43</v>
      </c>
      <c r="F995" s="4">
        <v>777</v>
      </c>
      <c r="G995" s="4">
        <v>2006</v>
      </c>
      <c r="H995" s="4" t="s">
        <v>34</v>
      </c>
      <c r="I995" s="5">
        <v>1.22</v>
      </c>
      <c r="J995" s="3">
        <v>2209</v>
      </c>
      <c r="K995" s="3">
        <v>1820</v>
      </c>
      <c r="L995" s="3"/>
      <c r="M995" s="32">
        <v>1.4</v>
      </c>
      <c r="N995" s="5">
        <f t="shared" si="80"/>
        <v>1.1475409836065573</v>
      </c>
      <c r="O995" s="5">
        <f t="shared" si="82"/>
        <v>1.2675418741511997</v>
      </c>
      <c r="P995" s="26">
        <v>41924</v>
      </c>
      <c r="Q995" s="6">
        <v>23.3</v>
      </c>
      <c r="R995" s="5">
        <v>3.53</v>
      </c>
      <c r="S995" s="6">
        <v>6.6</v>
      </c>
    </row>
    <row r="996" spans="1:19" ht="15" x14ac:dyDescent="0.2">
      <c r="A996" s="4">
        <v>2014</v>
      </c>
      <c r="B996" s="4" t="s">
        <v>97</v>
      </c>
      <c r="C996" s="4">
        <v>2</v>
      </c>
      <c r="D996" s="4">
        <v>7</v>
      </c>
      <c r="E996" s="4" t="s">
        <v>43</v>
      </c>
      <c r="F996" s="4">
        <v>777</v>
      </c>
      <c r="G996" s="4">
        <v>2006</v>
      </c>
      <c r="H996" s="4" t="s">
        <v>34</v>
      </c>
      <c r="I996" s="5">
        <v>0.45</v>
      </c>
      <c r="J996" s="3">
        <v>702</v>
      </c>
      <c r="K996" s="3">
        <v>1560</v>
      </c>
      <c r="L996" s="3"/>
      <c r="M996" s="32">
        <v>1.1000000000000001</v>
      </c>
      <c r="N996" s="5">
        <f t="shared" si="80"/>
        <v>2.4444444444444446</v>
      </c>
      <c r="O996" s="5">
        <f t="shared" si="82"/>
        <v>3.133903133903134</v>
      </c>
      <c r="P996" s="26">
        <v>41924</v>
      </c>
      <c r="Q996" s="6">
        <v>23.3</v>
      </c>
      <c r="R996" s="5">
        <v>3.53</v>
      </c>
      <c r="S996" s="6">
        <v>6.6</v>
      </c>
    </row>
    <row r="997" spans="1:19" ht="15" x14ac:dyDescent="0.2">
      <c r="A997" s="4">
        <v>2014</v>
      </c>
      <c r="B997" s="4" t="s">
        <v>97</v>
      </c>
      <c r="C997" s="4">
        <v>2</v>
      </c>
      <c r="D997" s="4">
        <v>8</v>
      </c>
      <c r="E997" s="4" t="s">
        <v>43</v>
      </c>
      <c r="F997" s="4">
        <v>828</v>
      </c>
      <c r="G997" s="4">
        <v>2006</v>
      </c>
      <c r="H997" s="4" t="s">
        <v>34</v>
      </c>
      <c r="I997" s="5">
        <v>0.32</v>
      </c>
      <c r="J997" s="4">
        <v>656</v>
      </c>
      <c r="K997" s="3">
        <v>2050</v>
      </c>
      <c r="L997" s="3"/>
      <c r="M997" s="32">
        <v>3.22</v>
      </c>
      <c r="N997" s="5">
        <f t="shared" si="80"/>
        <v>10.0625</v>
      </c>
      <c r="O997" s="5">
        <f t="shared" si="82"/>
        <v>9.8170731707317067</v>
      </c>
      <c r="P997" s="26">
        <v>41923</v>
      </c>
      <c r="Q997" s="6">
        <v>24.3</v>
      </c>
      <c r="R997" s="5">
        <v>3.48</v>
      </c>
      <c r="S997" s="6">
        <v>8</v>
      </c>
    </row>
    <row r="998" spans="1:19" ht="15" x14ac:dyDescent="0.2">
      <c r="A998" s="4">
        <v>2014</v>
      </c>
      <c r="B998" s="4" t="s">
        <v>97</v>
      </c>
      <c r="C998" s="4">
        <v>2</v>
      </c>
      <c r="D998" s="4">
        <v>5</v>
      </c>
      <c r="E998" s="4" t="s">
        <v>43</v>
      </c>
      <c r="F998" s="4">
        <v>667</v>
      </c>
      <c r="G998" s="4">
        <v>2006</v>
      </c>
      <c r="H998" s="4" t="s">
        <v>34</v>
      </c>
      <c r="I998" s="5">
        <v>1.31</v>
      </c>
      <c r="J998" s="3">
        <v>2461</v>
      </c>
      <c r="K998" s="3">
        <v>1878</v>
      </c>
      <c r="L998" s="32"/>
      <c r="M998" s="32">
        <v>6.6</v>
      </c>
      <c r="N998" s="5">
        <f t="shared" si="80"/>
        <v>5.0381679389312977</v>
      </c>
      <c r="O998" s="5">
        <f t="shared" si="82"/>
        <v>5.3636733035351485</v>
      </c>
      <c r="P998" s="8">
        <v>41558</v>
      </c>
      <c r="Q998" s="6">
        <v>23.3</v>
      </c>
      <c r="R998" s="5">
        <v>3.53</v>
      </c>
      <c r="S998" s="6">
        <v>6.6</v>
      </c>
    </row>
    <row r="999" spans="1:19" ht="15" x14ac:dyDescent="0.2">
      <c r="A999" s="4">
        <v>2014</v>
      </c>
      <c r="B999" s="4" t="s">
        <v>91</v>
      </c>
      <c r="C999" s="4">
        <v>3</v>
      </c>
      <c r="D999" s="4">
        <v>1</v>
      </c>
      <c r="E999" s="4" t="s">
        <v>43</v>
      </c>
      <c r="F999" s="4">
        <v>777</v>
      </c>
      <c r="G999" s="4">
        <v>2005</v>
      </c>
      <c r="H999" s="4" t="s">
        <v>44</v>
      </c>
      <c r="I999" s="5">
        <v>1.79</v>
      </c>
      <c r="J999" s="3">
        <v>2895</v>
      </c>
      <c r="K999" s="3">
        <v>1617</v>
      </c>
      <c r="L999" s="3"/>
      <c r="M999" s="32">
        <v>8.6199999999999992</v>
      </c>
      <c r="N999" s="5">
        <f t="shared" si="80"/>
        <v>4.8156424581005579</v>
      </c>
      <c r="O999" s="5">
        <f t="shared" si="82"/>
        <v>5.9550949913644216</v>
      </c>
      <c r="P999" s="26">
        <v>41913</v>
      </c>
      <c r="Q999" s="6">
        <v>23.1</v>
      </c>
      <c r="R999" s="5">
        <v>3.45</v>
      </c>
      <c r="S999" s="6">
        <v>6.45</v>
      </c>
    </row>
    <row r="1000" spans="1:19" x14ac:dyDescent="0.2">
      <c r="A1000" s="4">
        <v>2014</v>
      </c>
      <c r="B1000" s="4" t="s">
        <v>91</v>
      </c>
      <c r="C1000" s="4">
        <v>3</v>
      </c>
      <c r="D1000" s="4">
        <v>3</v>
      </c>
      <c r="E1000" s="4" t="s">
        <v>43</v>
      </c>
      <c r="F1000" s="4">
        <v>667</v>
      </c>
      <c r="G1000" s="4">
        <v>1996</v>
      </c>
      <c r="H1000" s="4" t="s">
        <v>45</v>
      </c>
      <c r="I1000" s="5">
        <v>2.4700000000000002</v>
      </c>
      <c r="J1000" s="3">
        <v>5000</v>
      </c>
      <c r="K1000" s="3">
        <v>2024.2914979757084</v>
      </c>
      <c r="L1000" s="3"/>
      <c r="M1000" s="5">
        <v>11.47</v>
      </c>
      <c r="N1000" s="5">
        <f t="shared" si="80"/>
        <v>4.6437246963562755</v>
      </c>
      <c r="O1000" s="5">
        <f t="shared" si="82"/>
        <v>4.5880000000000001</v>
      </c>
      <c r="P1000" s="8">
        <v>41907</v>
      </c>
      <c r="Q1000" s="6">
        <v>23.4</v>
      </c>
      <c r="R1000" s="5">
        <v>3.66</v>
      </c>
      <c r="S1000" s="6">
        <v>8.6300000000000008</v>
      </c>
    </row>
    <row r="1001" spans="1:19" ht="15" x14ac:dyDescent="0.2">
      <c r="A1001" s="4">
        <v>2014</v>
      </c>
      <c r="B1001" s="4" t="s">
        <v>91</v>
      </c>
      <c r="C1001" s="4">
        <v>3</v>
      </c>
      <c r="D1001" s="4">
        <v>5</v>
      </c>
      <c r="E1001" s="4" t="s">
        <v>43</v>
      </c>
      <c r="F1001" s="4" t="s">
        <v>46</v>
      </c>
      <c r="G1001" s="4">
        <v>1990</v>
      </c>
      <c r="H1001" s="4" t="s">
        <v>22</v>
      </c>
      <c r="I1001" s="5">
        <v>0.91</v>
      </c>
      <c r="J1001" s="3">
        <v>1013</v>
      </c>
      <c r="K1001" s="3">
        <v>1113.1868131868132</v>
      </c>
      <c r="L1001" s="3"/>
      <c r="M1001" s="32">
        <v>4.32</v>
      </c>
      <c r="N1001" s="5">
        <f t="shared" si="80"/>
        <v>4.7472527472527473</v>
      </c>
      <c r="O1001" s="5">
        <f t="shared" si="82"/>
        <v>8.5291214215202373</v>
      </c>
      <c r="P1001" s="8">
        <v>41911</v>
      </c>
      <c r="Q1001" s="6">
        <v>22.7</v>
      </c>
      <c r="R1001" s="5">
        <v>3.44</v>
      </c>
      <c r="S1001" s="6">
        <v>5.93</v>
      </c>
    </row>
    <row r="1002" spans="1:19" ht="15" x14ac:dyDescent="0.2">
      <c r="A1002" s="4">
        <v>2014</v>
      </c>
      <c r="B1002" s="4" t="s">
        <v>91</v>
      </c>
      <c r="C1002" s="4">
        <v>3</v>
      </c>
      <c r="D1002" s="4">
        <v>6</v>
      </c>
      <c r="E1002" s="4" t="s">
        <v>43</v>
      </c>
      <c r="F1002" s="4" t="s">
        <v>47</v>
      </c>
      <c r="G1002" s="4">
        <v>1987</v>
      </c>
      <c r="H1002" s="4" t="s">
        <v>22</v>
      </c>
      <c r="I1002" s="5">
        <v>0.5</v>
      </c>
      <c r="J1002" s="3">
        <v>600</v>
      </c>
      <c r="K1002" s="3">
        <v>1200</v>
      </c>
      <c r="L1002" s="3"/>
      <c r="M1002" s="32">
        <v>1.72</v>
      </c>
      <c r="N1002" s="5">
        <f t="shared" si="80"/>
        <v>3.44</v>
      </c>
      <c r="O1002" s="5">
        <f t="shared" si="82"/>
        <v>5.7333333333333334</v>
      </c>
      <c r="P1002" s="8">
        <v>41911</v>
      </c>
      <c r="Q1002" s="6">
        <v>23.6</v>
      </c>
      <c r="R1002" s="5">
        <v>3.43</v>
      </c>
      <c r="S1002" s="6">
        <v>5.63</v>
      </c>
    </row>
    <row r="1003" spans="1:19" ht="15" x14ac:dyDescent="0.2">
      <c r="A1003" s="4">
        <v>2014</v>
      </c>
      <c r="B1003" s="4" t="s">
        <v>91</v>
      </c>
      <c r="C1003" s="4">
        <v>3</v>
      </c>
      <c r="D1003" s="4">
        <v>7</v>
      </c>
      <c r="E1003" s="4" t="s">
        <v>43</v>
      </c>
      <c r="F1003" s="4" t="s">
        <v>48</v>
      </c>
      <c r="G1003" s="4">
        <v>1987</v>
      </c>
      <c r="H1003" s="4" t="s">
        <v>22</v>
      </c>
      <c r="I1003" s="5">
        <v>0.96</v>
      </c>
      <c r="J1003" s="3">
        <v>1160</v>
      </c>
      <c r="K1003" s="3">
        <v>1208.3333333333335</v>
      </c>
      <c r="L1003" s="3"/>
      <c r="M1003" s="32">
        <v>2.88</v>
      </c>
      <c r="N1003" s="5">
        <f t="shared" si="80"/>
        <v>3</v>
      </c>
      <c r="O1003" s="5">
        <f t="shared" si="82"/>
        <v>4.9655172413793105</v>
      </c>
      <c r="P1003" s="8">
        <v>41911</v>
      </c>
      <c r="Q1003" s="6">
        <v>23.6</v>
      </c>
      <c r="R1003" s="5">
        <v>3.43</v>
      </c>
      <c r="S1003" s="6">
        <v>5.63</v>
      </c>
    </row>
    <row r="1004" spans="1:19" ht="15" x14ac:dyDescent="0.2">
      <c r="A1004" s="4">
        <v>2014</v>
      </c>
      <c r="B1004" s="4" t="s">
        <v>91</v>
      </c>
      <c r="C1004" s="4">
        <v>3</v>
      </c>
      <c r="D1004" s="4">
        <v>8</v>
      </c>
      <c r="E1004" s="4" t="s">
        <v>43</v>
      </c>
      <c r="F1004" s="4" t="s">
        <v>49</v>
      </c>
      <c r="G1004" s="4">
        <v>1975</v>
      </c>
      <c r="H1004" s="4" t="s">
        <v>22</v>
      </c>
      <c r="I1004" s="5">
        <v>0.54</v>
      </c>
      <c r="J1004" s="3">
        <v>219</v>
      </c>
      <c r="K1004" s="3">
        <v>405.55555555555554</v>
      </c>
      <c r="L1004" s="3"/>
      <c r="M1004" s="32">
        <v>2.1800000000000002</v>
      </c>
      <c r="N1004" s="5">
        <f t="shared" si="80"/>
        <v>4.0370370370370372</v>
      </c>
      <c r="O1004" s="5">
        <f t="shared" si="82"/>
        <v>19.908675799086758</v>
      </c>
      <c r="P1004" s="8">
        <v>41911</v>
      </c>
      <c r="Q1004" s="6">
        <v>23.6</v>
      </c>
      <c r="R1004" s="5">
        <v>3.43</v>
      </c>
      <c r="S1004" s="6">
        <v>5.63</v>
      </c>
    </row>
    <row r="1005" spans="1:19" ht="15" x14ac:dyDescent="0.2">
      <c r="A1005" s="4">
        <v>2014</v>
      </c>
      <c r="B1005" s="4" t="s">
        <v>91</v>
      </c>
      <c r="C1005" s="4">
        <v>4</v>
      </c>
      <c r="D1005" s="4">
        <v>2</v>
      </c>
      <c r="E1005" s="4" t="s">
        <v>43</v>
      </c>
      <c r="F1005" s="4">
        <v>667</v>
      </c>
      <c r="G1005" s="4">
        <v>2005</v>
      </c>
      <c r="H1005" s="4" t="s">
        <v>34</v>
      </c>
      <c r="I1005" s="5">
        <v>0.9</v>
      </c>
      <c r="J1005" s="4">
        <v>1240</v>
      </c>
      <c r="K1005" s="3">
        <v>1240</v>
      </c>
      <c r="L1005" s="3"/>
      <c r="M1005" s="32">
        <v>5.25</v>
      </c>
      <c r="N1005" s="5">
        <f t="shared" si="80"/>
        <v>5.833333333333333</v>
      </c>
      <c r="O1005" s="5">
        <f t="shared" si="82"/>
        <v>8.4677419354838701</v>
      </c>
      <c r="P1005" s="8">
        <v>41913</v>
      </c>
      <c r="Q1005" s="6">
        <v>22.6</v>
      </c>
      <c r="R1005" s="5">
        <v>3.5</v>
      </c>
      <c r="S1005" s="6">
        <v>6.38</v>
      </c>
    </row>
    <row r="1006" spans="1:19" x14ac:dyDescent="0.2">
      <c r="A1006" s="4">
        <v>2014</v>
      </c>
      <c r="B1006" s="4" t="s">
        <v>91</v>
      </c>
      <c r="C1006" s="4">
        <v>4</v>
      </c>
      <c r="D1006" s="4">
        <v>3</v>
      </c>
      <c r="E1006" s="4" t="s">
        <v>43</v>
      </c>
      <c r="F1006" s="4" t="s">
        <v>46</v>
      </c>
      <c r="G1006" s="4">
        <v>1990</v>
      </c>
      <c r="H1006" s="4" t="s">
        <v>22</v>
      </c>
      <c r="I1006" s="5">
        <v>2.71</v>
      </c>
      <c r="J1006" s="3">
        <v>3279</v>
      </c>
      <c r="K1006" s="3">
        <v>1209.9630996309963</v>
      </c>
      <c r="L1006" s="3"/>
      <c r="M1006" s="5">
        <v>12</v>
      </c>
      <c r="N1006" s="5">
        <f t="shared" si="80"/>
        <v>4.4280442804428048</v>
      </c>
      <c r="O1006" s="5">
        <f t="shared" si="82"/>
        <v>7.3193046660567243</v>
      </c>
      <c r="P1006" s="26">
        <v>41906</v>
      </c>
      <c r="Q1006" s="6">
        <v>18</v>
      </c>
      <c r="R1006" s="5">
        <v>3.4</v>
      </c>
      <c r="S1006" s="6">
        <v>7.05</v>
      </c>
    </row>
    <row r="1007" spans="1:19" ht="15" x14ac:dyDescent="0.2">
      <c r="A1007" s="4">
        <v>2014</v>
      </c>
      <c r="B1007" s="4" t="s">
        <v>91</v>
      </c>
      <c r="C1007" s="4">
        <v>4</v>
      </c>
      <c r="D1007" s="31">
        <v>7</v>
      </c>
      <c r="E1007" s="4" t="s">
        <v>43</v>
      </c>
      <c r="F1007" s="4">
        <v>115</v>
      </c>
      <c r="G1007" s="4">
        <v>2005</v>
      </c>
      <c r="H1007" s="4" t="s">
        <v>44</v>
      </c>
      <c r="I1007" s="5">
        <v>0.53</v>
      </c>
      <c r="J1007" s="3">
        <v>965</v>
      </c>
      <c r="K1007" s="3"/>
      <c r="L1007" s="3"/>
      <c r="M1007" s="32">
        <v>2.84</v>
      </c>
      <c r="N1007" s="5">
        <f t="shared" si="80"/>
        <v>5.3584905660377355</v>
      </c>
      <c r="O1007" s="5">
        <f t="shared" si="82"/>
        <v>5.8860103626943001</v>
      </c>
      <c r="P1007" s="8">
        <v>41911</v>
      </c>
      <c r="Q1007" s="6">
        <v>22.8</v>
      </c>
      <c r="R1007" s="5">
        <v>3.5609999999999999</v>
      </c>
      <c r="S1007" s="6">
        <v>6.08</v>
      </c>
    </row>
    <row r="1008" spans="1:19" ht="15" x14ac:dyDescent="0.2">
      <c r="A1008" s="4">
        <v>2014</v>
      </c>
      <c r="B1008" s="4" t="s">
        <v>91</v>
      </c>
      <c r="C1008" s="4">
        <v>4</v>
      </c>
      <c r="D1008" s="4">
        <v>8</v>
      </c>
      <c r="E1008" s="4" t="s">
        <v>43</v>
      </c>
      <c r="F1008" s="4">
        <v>115</v>
      </c>
      <c r="G1008" s="4">
        <v>2005</v>
      </c>
      <c r="H1008" s="4" t="s">
        <v>44</v>
      </c>
      <c r="I1008" s="5">
        <v>1.25</v>
      </c>
      <c r="J1008" s="3">
        <v>1990</v>
      </c>
      <c r="K1008" s="3"/>
      <c r="L1008" s="3"/>
      <c r="M1008" s="32">
        <v>6.22</v>
      </c>
      <c r="N1008" s="5">
        <f t="shared" si="80"/>
        <v>4.976</v>
      </c>
      <c r="O1008" s="5">
        <f t="shared" si="82"/>
        <v>6.2512562814070352</v>
      </c>
      <c r="P1008" s="26">
        <v>41911</v>
      </c>
      <c r="Q1008" s="6">
        <v>22.6</v>
      </c>
      <c r="R1008" s="5">
        <v>3.64</v>
      </c>
      <c r="S1008" s="6">
        <v>7.72</v>
      </c>
    </row>
    <row r="1009" spans="1:19" ht="15" x14ac:dyDescent="0.2">
      <c r="A1009" s="4">
        <v>2014</v>
      </c>
      <c r="B1009" s="4" t="s">
        <v>91</v>
      </c>
      <c r="C1009" s="4">
        <v>4</v>
      </c>
      <c r="D1009" s="4">
        <v>9</v>
      </c>
      <c r="E1009" s="4" t="s">
        <v>43</v>
      </c>
      <c r="F1009" s="4">
        <v>777</v>
      </c>
      <c r="G1009" s="4">
        <v>2005</v>
      </c>
      <c r="H1009" s="4" t="s">
        <v>44</v>
      </c>
      <c r="I1009" s="5">
        <v>1.63</v>
      </c>
      <c r="J1009" s="3">
        <v>2600</v>
      </c>
      <c r="K1009" s="3"/>
      <c r="L1009" s="3"/>
      <c r="M1009" s="32">
        <v>8.42</v>
      </c>
      <c r="N1009" s="5">
        <f t="shared" si="80"/>
        <v>5.1656441717791415</v>
      </c>
      <c r="O1009" s="5">
        <f t="shared" si="82"/>
        <v>6.476923076923077</v>
      </c>
      <c r="P1009" s="26">
        <v>41911</v>
      </c>
      <c r="Q1009" s="6">
        <v>22.2</v>
      </c>
      <c r="R1009" s="5">
        <v>3.45</v>
      </c>
      <c r="S1009" s="6">
        <v>5.7</v>
      </c>
    </row>
    <row r="1010" spans="1:19" x14ac:dyDescent="0.2">
      <c r="A1010" s="4">
        <v>2014</v>
      </c>
      <c r="B1010" s="4" t="s">
        <v>91</v>
      </c>
      <c r="C1010" s="4">
        <v>4</v>
      </c>
      <c r="D1010" s="4">
        <v>10</v>
      </c>
      <c r="E1010" s="4" t="s">
        <v>43</v>
      </c>
      <c r="F1010" s="4" t="s">
        <v>46</v>
      </c>
      <c r="G1010" s="4">
        <v>1990</v>
      </c>
      <c r="H1010" s="4" t="s">
        <v>53</v>
      </c>
      <c r="I1010" s="5">
        <v>1.73</v>
      </c>
      <c r="J1010" s="3">
        <v>2093</v>
      </c>
      <c r="K1010" s="3">
        <v>1209.8265895953757</v>
      </c>
      <c r="L1010" s="3"/>
      <c r="M1010" s="5">
        <v>6.16</v>
      </c>
      <c r="N1010" s="5">
        <f t="shared" si="80"/>
        <v>3.5606936416184971</v>
      </c>
      <c r="O1010" s="5">
        <f t="shared" si="82"/>
        <v>5.8862876254180598</v>
      </c>
      <c r="P1010" s="26">
        <v>41906</v>
      </c>
      <c r="Q1010" s="6">
        <v>18.3</v>
      </c>
      <c r="R1010" s="5">
        <v>3.51</v>
      </c>
      <c r="S1010" s="6">
        <v>8.36</v>
      </c>
    </row>
    <row r="1011" spans="1:19" x14ac:dyDescent="0.2">
      <c r="A1011" s="4">
        <v>2014</v>
      </c>
      <c r="B1011" s="4" t="s">
        <v>91</v>
      </c>
      <c r="C1011" s="4">
        <v>4</v>
      </c>
      <c r="D1011" s="4">
        <v>11</v>
      </c>
      <c r="E1011" s="4" t="s">
        <v>43</v>
      </c>
      <c r="F1011" s="4">
        <v>115</v>
      </c>
      <c r="G1011" s="4">
        <v>2003</v>
      </c>
      <c r="H1011" s="4" t="s">
        <v>34</v>
      </c>
      <c r="I1011" s="5">
        <v>1.46</v>
      </c>
      <c r="J1011" s="3">
        <v>2600</v>
      </c>
      <c r="K1011" s="3">
        <v>1780</v>
      </c>
      <c r="L1011" s="3"/>
      <c r="M1011" s="5">
        <v>6.93</v>
      </c>
      <c r="N1011" s="5">
        <f t="shared" si="80"/>
        <v>4.7465753424657535</v>
      </c>
      <c r="O1011" s="5">
        <f t="shared" si="82"/>
        <v>5.3307692307692305</v>
      </c>
      <c r="P1011" s="8">
        <v>41907</v>
      </c>
      <c r="Q1011" s="6">
        <v>22.1</v>
      </c>
      <c r="R1011" s="5">
        <v>3.49</v>
      </c>
      <c r="S1011" s="6">
        <v>7.5</v>
      </c>
    </row>
    <row r="1012" spans="1:19" x14ac:dyDescent="0.2">
      <c r="A1012" s="4">
        <v>2014</v>
      </c>
      <c r="B1012" s="4" t="s">
        <v>91</v>
      </c>
      <c r="C1012" s="4">
        <v>5</v>
      </c>
      <c r="D1012" s="4">
        <v>5</v>
      </c>
      <c r="E1012" s="4" t="s">
        <v>43</v>
      </c>
      <c r="F1012" s="4">
        <v>115</v>
      </c>
      <c r="G1012" s="4">
        <v>1997</v>
      </c>
      <c r="H1012" s="4" t="s">
        <v>54</v>
      </c>
      <c r="I1012" s="5">
        <v>1.43</v>
      </c>
      <c r="J1012" s="3">
        <v>2450</v>
      </c>
      <c r="K1012" s="3">
        <v>1713.2867132867134</v>
      </c>
      <c r="L1012" s="3"/>
      <c r="M1012" s="5">
        <v>6.29</v>
      </c>
      <c r="N1012" s="5">
        <f t="shared" si="80"/>
        <v>4.3986013986013992</v>
      </c>
      <c r="O1012" s="5">
        <f t="shared" si="82"/>
        <v>5.1346938775510207</v>
      </c>
      <c r="P1012" s="8">
        <v>41923</v>
      </c>
      <c r="Q1012" s="6">
        <v>23.4</v>
      </c>
      <c r="R1012" s="5">
        <v>3.58</v>
      </c>
      <c r="S1012" s="6">
        <v>8.1</v>
      </c>
    </row>
    <row r="1013" spans="1:19" x14ac:dyDescent="0.2">
      <c r="A1013" s="4">
        <v>2014</v>
      </c>
      <c r="B1013" s="4" t="s">
        <v>91</v>
      </c>
      <c r="C1013" s="4">
        <v>5</v>
      </c>
      <c r="D1013" s="4">
        <v>6</v>
      </c>
      <c r="E1013" s="4" t="s">
        <v>43</v>
      </c>
      <c r="F1013" s="4">
        <v>777</v>
      </c>
      <c r="G1013" s="4">
        <v>1997</v>
      </c>
      <c r="H1013" s="4" t="s">
        <v>54</v>
      </c>
      <c r="I1013" s="5">
        <v>1.84</v>
      </c>
      <c r="J1013" s="3">
        <v>3200</v>
      </c>
      <c r="K1013" s="3">
        <v>1739.1304347826085</v>
      </c>
      <c r="L1013" s="3"/>
      <c r="M1013" s="5">
        <v>8.81</v>
      </c>
      <c r="N1013" s="5">
        <f t="shared" si="80"/>
        <v>4.7880434782608701</v>
      </c>
      <c r="O1013" s="5">
        <f t="shared" si="82"/>
        <v>5.5062499999999996</v>
      </c>
      <c r="P1013" s="8">
        <v>41923</v>
      </c>
      <c r="Q1013" s="6">
        <v>23.4</v>
      </c>
      <c r="R1013" s="5">
        <v>3.58</v>
      </c>
      <c r="S1013" s="6">
        <v>8.1</v>
      </c>
    </row>
    <row r="1014" spans="1:19" x14ac:dyDescent="0.2">
      <c r="A1014" s="4">
        <v>2014</v>
      </c>
      <c r="B1014" s="4" t="s">
        <v>97</v>
      </c>
      <c r="C1014" s="4">
        <v>2</v>
      </c>
      <c r="D1014" s="4">
        <v>4</v>
      </c>
      <c r="E1014" s="4" t="s">
        <v>28</v>
      </c>
      <c r="F1014" s="4">
        <v>49</v>
      </c>
      <c r="G1014" s="4">
        <v>2006</v>
      </c>
      <c r="H1014" s="4" t="s">
        <v>34</v>
      </c>
      <c r="I1014" s="5">
        <v>0.21</v>
      </c>
      <c r="J1014" s="3">
        <v>403</v>
      </c>
      <c r="K1014" s="3">
        <v>1919</v>
      </c>
      <c r="L1014" s="3"/>
      <c r="M1014" s="5">
        <v>0.92</v>
      </c>
      <c r="N1014" s="5">
        <f t="shared" si="80"/>
        <v>4.3809523809523814</v>
      </c>
      <c r="O1014" s="5">
        <f t="shared" si="82"/>
        <v>4.5657568238213395</v>
      </c>
      <c r="P1014" s="8">
        <v>41948</v>
      </c>
      <c r="Q1014" s="6">
        <v>22</v>
      </c>
      <c r="R1014" s="5">
        <v>2.99</v>
      </c>
      <c r="S1014" s="6">
        <v>8.18</v>
      </c>
    </row>
    <row r="1015" spans="1:19" x14ac:dyDescent="0.2">
      <c r="A1015" s="4">
        <v>2014</v>
      </c>
      <c r="B1015" s="4" t="s">
        <v>97</v>
      </c>
      <c r="C1015" s="4">
        <v>2</v>
      </c>
      <c r="D1015" s="4">
        <v>1</v>
      </c>
      <c r="E1015" s="4" t="s">
        <v>28</v>
      </c>
      <c r="F1015" s="4">
        <v>6</v>
      </c>
      <c r="G1015" s="4">
        <v>1984</v>
      </c>
      <c r="H1015" s="4" t="s">
        <v>65</v>
      </c>
      <c r="I1015" s="5">
        <v>2.81</v>
      </c>
      <c r="J1015" s="3">
        <v>2755</v>
      </c>
      <c r="K1015" s="3">
        <v>1027</v>
      </c>
      <c r="L1015" s="3"/>
      <c r="M1015" s="5">
        <v>5.35</v>
      </c>
      <c r="N1015" s="5">
        <f t="shared" si="80"/>
        <v>1.9039145907473307</v>
      </c>
      <c r="O1015" s="5">
        <f t="shared" si="82"/>
        <v>3.8838475499092557</v>
      </c>
      <c r="P1015" s="26">
        <v>41947</v>
      </c>
      <c r="Q1015" s="6">
        <v>22</v>
      </c>
      <c r="R1015" s="5">
        <v>2.99</v>
      </c>
      <c r="S1015" s="6">
        <v>8.18</v>
      </c>
    </row>
    <row r="1016" spans="1:19" x14ac:dyDescent="0.2">
      <c r="A1016" s="4">
        <v>2014</v>
      </c>
      <c r="B1016" s="4" t="s">
        <v>97</v>
      </c>
      <c r="C1016" s="4">
        <v>2</v>
      </c>
      <c r="D1016" s="4">
        <v>2</v>
      </c>
      <c r="E1016" s="4" t="s">
        <v>28</v>
      </c>
      <c r="F1016" s="5">
        <v>49</v>
      </c>
      <c r="G1016" s="4">
        <v>2006</v>
      </c>
      <c r="H1016" s="4" t="s">
        <v>34</v>
      </c>
      <c r="I1016" s="5">
        <v>1.58</v>
      </c>
      <c r="J1016" s="4">
        <v>2737</v>
      </c>
      <c r="K1016" s="3">
        <v>1732</v>
      </c>
      <c r="L1016" s="3"/>
      <c r="M1016" s="4">
        <v>4.91</v>
      </c>
      <c r="N1016" s="5">
        <f t="shared" si="80"/>
        <v>3.1075949367088609</v>
      </c>
      <c r="O1016" s="5">
        <f t="shared" si="82"/>
        <v>3.5878699305809278</v>
      </c>
      <c r="P1016" s="8">
        <v>41947</v>
      </c>
      <c r="Q1016" s="6">
        <v>22.2</v>
      </c>
      <c r="R1016" s="5">
        <v>3</v>
      </c>
      <c r="S1016" s="6">
        <v>8.85</v>
      </c>
    </row>
    <row r="1017" spans="1:19" x14ac:dyDescent="0.2">
      <c r="A1017" s="4">
        <v>2014</v>
      </c>
      <c r="B1017" s="4" t="s">
        <v>97</v>
      </c>
      <c r="C1017" s="4">
        <v>3</v>
      </c>
      <c r="D1017" s="4">
        <v>5</v>
      </c>
      <c r="E1017" s="4" t="s">
        <v>28</v>
      </c>
      <c r="F1017" s="4">
        <v>239</v>
      </c>
      <c r="G1017" s="4">
        <v>1977</v>
      </c>
      <c r="H1017" s="4" t="s">
        <v>69</v>
      </c>
      <c r="I1017" s="5">
        <v>1.1299999999999999</v>
      </c>
      <c r="J1017" s="4">
        <v>837</v>
      </c>
      <c r="K1017" s="3">
        <v>741</v>
      </c>
      <c r="L1017" s="3"/>
      <c r="M1017" s="5">
        <v>0</v>
      </c>
      <c r="N1017" s="5">
        <f t="shared" si="80"/>
        <v>0</v>
      </c>
      <c r="O1017" s="5">
        <f t="shared" si="82"/>
        <v>0</v>
      </c>
      <c r="P1017" s="8">
        <v>41948</v>
      </c>
      <c r="Q1017" s="6"/>
      <c r="R1017" s="5"/>
      <c r="S1017" s="6"/>
    </row>
    <row r="1018" spans="1:19" x14ac:dyDescent="0.2">
      <c r="A1018" s="4">
        <v>2014</v>
      </c>
      <c r="B1018" s="4" t="s">
        <v>97</v>
      </c>
      <c r="C1018" s="4">
        <v>3</v>
      </c>
      <c r="D1018" s="4">
        <v>1</v>
      </c>
      <c r="E1018" s="4" t="s">
        <v>28</v>
      </c>
      <c r="F1018" s="4">
        <v>49</v>
      </c>
      <c r="G1018" s="4">
        <v>2006</v>
      </c>
      <c r="H1018" s="4" t="s">
        <v>34</v>
      </c>
      <c r="I1018" s="5">
        <v>0.68</v>
      </c>
      <c r="J1018" s="4">
        <v>1132</v>
      </c>
      <c r="K1018" s="3">
        <v>1664</v>
      </c>
      <c r="L1018" s="3"/>
      <c r="M1018" s="5">
        <v>0.75</v>
      </c>
      <c r="N1018" s="5">
        <f t="shared" si="80"/>
        <v>1.1029411764705881</v>
      </c>
      <c r="O1018" s="5">
        <f t="shared" si="82"/>
        <v>1.3250883392226149</v>
      </c>
      <c r="P1018" s="8">
        <v>41948</v>
      </c>
      <c r="Q1018" s="6">
        <v>22</v>
      </c>
      <c r="R1018" s="5">
        <v>3.02</v>
      </c>
      <c r="S1018" s="6">
        <v>8.48</v>
      </c>
    </row>
    <row r="1019" spans="1:19" x14ac:dyDescent="0.2">
      <c r="A1019" s="4">
        <v>2014</v>
      </c>
      <c r="B1019" s="4" t="s">
        <v>97</v>
      </c>
      <c r="C1019" s="4">
        <v>3</v>
      </c>
      <c r="D1019" s="4">
        <v>2</v>
      </c>
      <c r="E1019" s="4" t="s">
        <v>28</v>
      </c>
      <c r="F1019" s="4">
        <v>239</v>
      </c>
      <c r="G1019" s="4">
        <v>1977</v>
      </c>
      <c r="H1019" s="4" t="s">
        <v>66</v>
      </c>
      <c r="I1019" s="5">
        <v>1.1299999999999999</v>
      </c>
      <c r="J1019" s="4">
        <v>946</v>
      </c>
      <c r="K1019" s="3">
        <v>837</v>
      </c>
      <c r="L1019" s="3"/>
      <c r="M1019" s="5">
        <v>6.08</v>
      </c>
      <c r="N1019" s="5">
        <f t="shared" si="80"/>
        <v>5.3805309734513278</v>
      </c>
      <c r="O1019" s="5">
        <f t="shared" si="82"/>
        <v>12.854122621564482</v>
      </c>
      <c r="P1019" s="8">
        <v>41948</v>
      </c>
      <c r="Q1019" s="6">
        <v>22</v>
      </c>
      <c r="R1019" s="5">
        <v>3.02</v>
      </c>
      <c r="S1019" s="6">
        <v>8.48</v>
      </c>
    </row>
    <row r="1020" spans="1:19" x14ac:dyDescent="0.2">
      <c r="A1020" s="4">
        <v>2014</v>
      </c>
      <c r="B1020" s="4" t="s">
        <v>122</v>
      </c>
      <c r="C1020" s="4">
        <v>1</v>
      </c>
      <c r="D1020" s="4" t="s">
        <v>124</v>
      </c>
      <c r="E1020" s="4" t="s">
        <v>28</v>
      </c>
      <c r="F1020" s="4">
        <v>49</v>
      </c>
      <c r="G1020" s="4">
        <v>2008</v>
      </c>
      <c r="H1020" s="4" t="s">
        <v>76</v>
      </c>
      <c r="I1020" s="5">
        <v>6.1499999999999995</v>
      </c>
      <c r="J1020" s="3">
        <v>10445</v>
      </c>
      <c r="K1020" s="3">
        <v>1698.3739837398375</v>
      </c>
      <c r="L1020" s="3"/>
      <c r="M1020" s="5">
        <v>18.73</v>
      </c>
      <c r="N1020" s="5">
        <f t="shared" si="80"/>
        <v>3.0455284552845532</v>
      </c>
      <c r="O1020" s="5">
        <f t="shared" si="82"/>
        <v>3.5864049784585927</v>
      </c>
      <c r="P1020" s="8">
        <v>41946</v>
      </c>
      <c r="Q1020" s="6">
        <v>22.1</v>
      </c>
      <c r="R1020" s="5">
        <v>2.98</v>
      </c>
      <c r="S1020" s="6">
        <v>9.3000000000000007</v>
      </c>
    </row>
    <row r="1021" spans="1:19" x14ac:dyDescent="0.2">
      <c r="A1021" s="4">
        <v>2014</v>
      </c>
      <c r="B1021" s="4" t="s">
        <v>91</v>
      </c>
      <c r="C1021" s="4">
        <v>1</v>
      </c>
      <c r="D1021" s="4">
        <v>4</v>
      </c>
      <c r="E1021" s="4" t="s">
        <v>28</v>
      </c>
      <c r="F1021" s="4" t="s">
        <v>29</v>
      </c>
      <c r="G1021" s="4">
        <v>1982</v>
      </c>
      <c r="H1021" s="4" t="s">
        <v>24</v>
      </c>
      <c r="I1021" s="5">
        <v>5.13</v>
      </c>
      <c r="J1021" s="3">
        <v>5536</v>
      </c>
      <c r="K1021" s="3">
        <v>1079</v>
      </c>
      <c r="L1021" s="3"/>
      <c r="M1021" s="5">
        <v>16.75</v>
      </c>
      <c r="N1021" s="5">
        <f t="shared" si="80"/>
        <v>3.2651072124756335</v>
      </c>
      <c r="O1021" s="5">
        <f t="shared" si="82"/>
        <v>6.0513005780346818</v>
      </c>
      <c r="P1021" s="8">
        <v>41922</v>
      </c>
      <c r="Q1021" s="6">
        <v>22.9</v>
      </c>
      <c r="R1021" s="5">
        <v>3.12</v>
      </c>
      <c r="S1021" s="6">
        <v>10.050000000000001</v>
      </c>
    </row>
    <row r="1022" spans="1:19" x14ac:dyDescent="0.2">
      <c r="A1022" s="4">
        <v>2014</v>
      </c>
      <c r="B1022" s="4" t="s">
        <v>91</v>
      </c>
      <c r="C1022" s="4">
        <v>1</v>
      </c>
      <c r="D1022" s="4">
        <v>6</v>
      </c>
      <c r="E1022" s="4" t="s">
        <v>99</v>
      </c>
      <c r="F1022" s="4">
        <v>530</v>
      </c>
      <c r="G1022" s="4">
        <v>1997</v>
      </c>
      <c r="H1022" s="4" t="s">
        <v>27</v>
      </c>
      <c r="I1022" s="5">
        <v>1.82</v>
      </c>
      <c r="J1022" s="3">
        <v>1888</v>
      </c>
      <c r="K1022" s="3">
        <v>1374</v>
      </c>
      <c r="L1022" s="3"/>
      <c r="M1022" s="5">
        <v>8.1</v>
      </c>
      <c r="N1022" s="5">
        <f t="shared" si="80"/>
        <v>4.4505494505494498</v>
      </c>
      <c r="O1022" s="5">
        <f t="shared" si="82"/>
        <v>8.5805084745762716</v>
      </c>
      <c r="P1022" s="26">
        <v>41900</v>
      </c>
      <c r="Q1022" s="6">
        <v>21.1</v>
      </c>
      <c r="R1022" s="5">
        <v>3.11</v>
      </c>
      <c r="S1022" s="6">
        <v>6.75</v>
      </c>
    </row>
    <row r="1023" spans="1:19" x14ac:dyDescent="0.2">
      <c r="A1023" s="4">
        <v>2014</v>
      </c>
      <c r="B1023" s="4" t="s">
        <v>115</v>
      </c>
      <c r="C1023" s="4">
        <v>1</v>
      </c>
      <c r="D1023" s="4">
        <v>2</v>
      </c>
      <c r="E1023" s="4" t="s">
        <v>55</v>
      </c>
      <c r="F1023" s="4">
        <v>174</v>
      </c>
      <c r="G1023" s="4">
        <v>2006</v>
      </c>
      <c r="H1023" s="4" t="s">
        <v>60</v>
      </c>
      <c r="I1023" s="5">
        <v>1.6</v>
      </c>
      <c r="J1023" s="4">
        <v>1748</v>
      </c>
      <c r="K1023" s="3">
        <v>1093</v>
      </c>
      <c r="L1023" s="3"/>
      <c r="M1023" s="5">
        <v>2.33</v>
      </c>
      <c r="N1023" s="5">
        <f t="shared" si="80"/>
        <v>1.45625</v>
      </c>
      <c r="O1023" s="5">
        <f t="shared" si="82"/>
        <v>2.665903890160183</v>
      </c>
      <c r="P1023" s="8">
        <v>41906</v>
      </c>
      <c r="Q1023" s="6">
        <v>24.4</v>
      </c>
      <c r="R1023" s="5">
        <v>3.44</v>
      </c>
      <c r="S1023" s="6">
        <v>10.130000000000001</v>
      </c>
    </row>
    <row r="1024" spans="1:19" x14ac:dyDescent="0.2">
      <c r="A1024" s="4">
        <v>2014</v>
      </c>
      <c r="B1024" s="4" t="s">
        <v>91</v>
      </c>
      <c r="C1024" s="4">
        <v>2</v>
      </c>
      <c r="D1024" s="4">
        <v>1</v>
      </c>
      <c r="E1024" s="4" t="s">
        <v>55</v>
      </c>
      <c r="F1024" s="4" t="s">
        <v>147</v>
      </c>
      <c r="G1024" s="4">
        <v>2010</v>
      </c>
      <c r="H1024" s="4" t="s">
        <v>148</v>
      </c>
      <c r="I1024" s="5">
        <v>2.69</v>
      </c>
      <c r="J1024" s="3">
        <v>3911</v>
      </c>
      <c r="K1024" s="3">
        <v>1078</v>
      </c>
      <c r="L1024" s="3"/>
      <c r="M1024" s="5">
        <v>10.72</v>
      </c>
      <c r="N1024" s="5">
        <f t="shared" si="80"/>
        <v>3.985130111524164</v>
      </c>
      <c r="O1024" s="5">
        <f t="shared" si="82"/>
        <v>5.4819739197136279</v>
      </c>
      <c r="P1024" s="26">
        <v>41913</v>
      </c>
      <c r="Q1024" s="6">
        <v>23.8</v>
      </c>
      <c r="R1024" s="5">
        <v>3.46</v>
      </c>
      <c r="S1024" s="6">
        <v>8.1</v>
      </c>
    </row>
    <row r="1025" spans="1:19" x14ac:dyDescent="0.2">
      <c r="A1025" s="4">
        <v>2014</v>
      </c>
    </row>
    <row r="1026" spans="1:19" x14ac:dyDescent="0.2">
      <c r="A1026" s="11">
        <v>2015</v>
      </c>
      <c r="B1026" s="11" t="s">
        <v>115</v>
      </c>
      <c r="C1026" s="4">
        <v>1</v>
      </c>
      <c r="D1026" s="4">
        <v>1</v>
      </c>
      <c r="E1026" s="11" t="s">
        <v>114</v>
      </c>
      <c r="F1026" s="11" t="s">
        <v>36</v>
      </c>
      <c r="G1026" s="11">
        <v>2006</v>
      </c>
      <c r="H1026" s="11" t="s">
        <v>61</v>
      </c>
      <c r="I1026" s="11">
        <v>0.2</v>
      </c>
      <c r="J1026" s="11">
        <v>300</v>
      </c>
      <c r="K1026" s="11">
        <v>1500</v>
      </c>
      <c r="L1026" s="11">
        <v>110</v>
      </c>
      <c r="M1026" s="11">
        <v>51.54</v>
      </c>
      <c r="N1026" s="11">
        <v>257.7</v>
      </c>
      <c r="O1026" s="11">
        <v>343.6</v>
      </c>
      <c r="P1026" s="34">
        <v>42251</v>
      </c>
      <c r="Q1026" s="11">
        <v>25.7</v>
      </c>
      <c r="R1026" s="11">
        <v>3.63</v>
      </c>
      <c r="S1026" s="11">
        <v>8.43</v>
      </c>
    </row>
    <row r="1027" spans="1:19" x14ac:dyDescent="0.2">
      <c r="A1027" s="11">
        <v>2015</v>
      </c>
      <c r="B1027" s="11" t="s">
        <v>115</v>
      </c>
      <c r="C1027" s="4">
        <v>1</v>
      </c>
      <c r="D1027" s="4">
        <v>4</v>
      </c>
      <c r="E1027" s="11" t="s">
        <v>114</v>
      </c>
      <c r="F1027" s="11" t="s">
        <v>36</v>
      </c>
      <c r="G1027" s="11">
        <v>2006</v>
      </c>
      <c r="H1027" s="11" t="s">
        <v>34</v>
      </c>
      <c r="I1027" s="11">
        <v>2.95</v>
      </c>
      <c r="J1027" s="11">
        <v>2926</v>
      </c>
      <c r="K1027" s="11">
        <v>975</v>
      </c>
      <c r="L1027" s="11">
        <v>110</v>
      </c>
      <c r="M1027" s="11">
        <v>51.54</v>
      </c>
      <c r="N1027" s="11">
        <v>17.471186440677965</v>
      </c>
      <c r="O1027" s="11">
        <v>35.228981544771017</v>
      </c>
      <c r="P1027" s="34">
        <v>42251</v>
      </c>
      <c r="Q1027" s="11">
        <v>25.7</v>
      </c>
      <c r="R1027" s="11">
        <v>3.63</v>
      </c>
      <c r="S1027" s="11">
        <v>8.43</v>
      </c>
    </row>
    <row r="1028" spans="1:19" x14ac:dyDescent="0.2">
      <c r="A1028" s="11">
        <v>2015</v>
      </c>
      <c r="B1028" s="11" t="s">
        <v>115</v>
      </c>
      <c r="C1028" s="4">
        <v>1</v>
      </c>
      <c r="D1028" s="4">
        <v>5</v>
      </c>
      <c r="E1028" s="11" t="s">
        <v>114</v>
      </c>
      <c r="F1028" s="11" t="s">
        <v>36</v>
      </c>
      <c r="G1028" s="11" t="s">
        <v>59</v>
      </c>
      <c r="H1028" s="11" t="s">
        <v>58</v>
      </c>
      <c r="I1028" s="11">
        <v>10</v>
      </c>
      <c r="J1028" s="11">
        <v>4600</v>
      </c>
      <c r="K1028" s="11">
        <v>460</v>
      </c>
      <c r="L1028" s="11">
        <v>110</v>
      </c>
      <c r="M1028" s="11">
        <v>51.54</v>
      </c>
      <c r="N1028" s="11">
        <v>5.1539999999999999</v>
      </c>
      <c r="O1028" s="11">
        <v>22.408695652173915</v>
      </c>
      <c r="P1028" s="34">
        <v>42251</v>
      </c>
      <c r="Q1028" s="11">
        <v>25.7</v>
      </c>
      <c r="R1028" s="11">
        <v>3.63</v>
      </c>
      <c r="S1028" s="11">
        <v>8.43</v>
      </c>
    </row>
  </sheetData>
  <sortState ref="A913:S927">
    <sortCondition ref="E913:E927"/>
    <sortCondition ref="B913:B927"/>
    <sortCondition ref="C913:C927"/>
    <sortCondition ref="D913:D927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OpenForm">
          <controlPr defaultSize="0" autoLine="0" r:id="rId5">
            <anchor moveWithCells="1">
              <from>
                <xdr:col>20</xdr:col>
                <xdr:colOff>19050</xdr:colOff>
                <xdr:row>0</xdr:row>
                <xdr:rowOff>57150</xdr:rowOff>
              </from>
              <to>
                <xdr:col>22</xdr:col>
                <xdr:colOff>304800</xdr:colOff>
                <xdr:row>0</xdr:row>
                <xdr:rowOff>628650</xdr:rowOff>
              </to>
            </anchor>
          </controlPr>
        </control>
      </mc:Choice>
      <mc:Fallback>
        <control shapeId="2049" r:id="rId4" name="cmdOpen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E619"/>
  <sheetViews>
    <sheetView workbookViewId="0">
      <selection activeCell="B10" sqref="B10"/>
    </sheetView>
  </sheetViews>
  <sheetFormatPr defaultRowHeight="15" x14ac:dyDescent="0.25"/>
  <cols>
    <col min="1" max="1" width="13.140625" bestFit="1" customWidth="1"/>
    <col min="2" max="2" width="11.85546875" bestFit="1" customWidth="1"/>
    <col min="3" max="3" width="14.5703125" bestFit="1" customWidth="1"/>
    <col min="4" max="4" width="13.5703125" bestFit="1" customWidth="1"/>
    <col min="5" max="5" width="13.42578125" bestFit="1" customWidth="1"/>
    <col min="6" max="6" width="5" customWidth="1"/>
    <col min="7" max="7" width="7" customWidth="1"/>
    <col min="8" max="9" width="5" customWidth="1"/>
    <col min="10" max="10" width="6" customWidth="1"/>
    <col min="11" max="11" width="8" customWidth="1"/>
    <col min="12" max="12" width="7" customWidth="1"/>
    <col min="13" max="13" width="6" customWidth="1"/>
    <col min="14" max="14" width="8" customWidth="1"/>
    <col min="15" max="16" width="6" customWidth="1"/>
    <col min="17" max="17" width="8" customWidth="1"/>
    <col min="18" max="21" width="6" customWidth="1"/>
    <col min="22" max="22" width="7" customWidth="1"/>
    <col min="23" max="23" width="5" customWidth="1"/>
    <col min="24" max="24" width="6" customWidth="1"/>
    <col min="25" max="25" width="7" customWidth="1"/>
    <col min="26" max="26" width="6" customWidth="1"/>
    <col min="27" max="27" width="7" customWidth="1"/>
    <col min="28" max="28" width="6" customWidth="1"/>
    <col min="29" max="29" width="12" customWidth="1"/>
    <col min="30" max="30" width="5" customWidth="1"/>
    <col min="31" max="31" width="7" customWidth="1"/>
    <col min="32" max="32" width="12" customWidth="1"/>
    <col min="33" max="33" width="5" customWidth="1"/>
    <col min="34" max="35" width="6" customWidth="1"/>
    <col min="36" max="36" width="8" customWidth="1"/>
    <col min="37" max="37" width="6" customWidth="1"/>
    <col min="38" max="38" width="12" customWidth="1"/>
    <col min="39" max="40" width="7" customWidth="1"/>
    <col min="41" max="41" width="6" customWidth="1"/>
    <col min="42" max="43" width="8" customWidth="1"/>
    <col min="44" max="44" width="9" customWidth="1"/>
    <col min="45" max="45" width="5" customWidth="1"/>
    <col min="46" max="46" width="9" customWidth="1"/>
    <col min="47" max="47" width="12" customWidth="1"/>
    <col min="48" max="48" width="6" customWidth="1"/>
    <col min="49" max="49" width="12" customWidth="1"/>
    <col min="50" max="50" width="8" customWidth="1"/>
    <col min="51" max="52" width="5" customWidth="1"/>
    <col min="53" max="53" width="9" customWidth="1"/>
    <col min="54" max="54" width="6" customWidth="1"/>
    <col min="55" max="55" width="5" customWidth="1"/>
    <col min="56" max="56" width="9" bestFit="1" customWidth="1"/>
    <col min="57" max="57" width="7" customWidth="1"/>
    <col min="58" max="58" width="9" customWidth="1"/>
    <col min="59" max="59" width="8" customWidth="1"/>
    <col min="60" max="60" width="7" customWidth="1"/>
    <col min="61" max="61" width="5" customWidth="1"/>
    <col min="62" max="62" width="8" customWidth="1"/>
    <col min="63" max="63" width="5" customWidth="1"/>
    <col min="64" max="64" width="8" customWidth="1"/>
    <col min="65" max="65" width="9" bestFit="1" customWidth="1"/>
    <col min="66" max="66" width="5" customWidth="1"/>
    <col min="67" max="67" width="12" customWidth="1"/>
    <col min="68" max="68" width="9" customWidth="1"/>
    <col min="69" max="69" width="5" customWidth="1"/>
    <col min="70" max="70" width="6" customWidth="1"/>
    <col min="71" max="71" width="7" customWidth="1"/>
    <col min="72" max="72" width="9" customWidth="1"/>
    <col min="73" max="73" width="12" customWidth="1"/>
    <col min="74" max="74" width="6" customWidth="1"/>
    <col min="75" max="75" width="8" customWidth="1"/>
    <col min="76" max="76" width="9" customWidth="1"/>
    <col min="77" max="77" width="5" customWidth="1"/>
    <col min="78" max="79" width="8" customWidth="1"/>
    <col min="80" max="82" width="6" customWidth="1"/>
    <col min="83" max="83" width="5" customWidth="1"/>
    <col min="84" max="84" width="6" customWidth="1"/>
    <col min="85" max="87" width="5" customWidth="1"/>
    <col min="88" max="88" width="6" customWidth="1"/>
    <col min="89" max="90" width="5" customWidth="1"/>
    <col min="91" max="91" width="6" customWidth="1"/>
    <col min="92" max="93" width="5" customWidth="1"/>
    <col min="94" max="94" width="6" customWidth="1"/>
    <col min="95" max="102" width="5" customWidth="1"/>
    <col min="103" max="103" width="6" customWidth="1"/>
    <col min="104" max="105" width="5" customWidth="1"/>
    <col min="106" max="106" width="6" bestFit="1" customWidth="1"/>
    <col min="107" max="107" width="4" customWidth="1"/>
    <col min="108" max="108" width="6" bestFit="1" customWidth="1"/>
    <col min="109" max="109" width="4" customWidth="1"/>
    <col min="110" max="110" width="5" customWidth="1"/>
    <col min="111" max="111" width="6" customWidth="1"/>
    <col min="112" max="113" width="3" customWidth="1"/>
    <col min="114" max="115" width="5" customWidth="1"/>
    <col min="116" max="116" width="10" customWidth="1"/>
    <col min="117" max="117" width="11.140625" bestFit="1" customWidth="1"/>
    <col min="118" max="118" width="6.85546875" customWidth="1"/>
    <col min="119" max="124" width="5" customWidth="1"/>
    <col min="125" max="126" width="6" customWidth="1"/>
    <col min="127" max="138" width="5" customWidth="1"/>
    <col min="139" max="139" width="3" customWidth="1"/>
    <col min="140" max="140" width="7.140625" customWidth="1"/>
    <col min="141" max="141" width="9.85546875" customWidth="1"/>
    <col min="142" max="142" width="6.85546875" customWidth="1"/>
    <col min="143" max="159" width="5" customWidth="1"/>
    <col min="160" max="160" width="4" customWidth="1"/>
    <col min="161" max="161" width="5" customWidth="1"/>
    <col min="162" max="162" width="7.140625" customWidth="1"/>
    <col min="163" max="163" width="9.85546875" bestFit="1" customWidth="1"/>
    <col min="164" max="164" width="6.85546875" customWidth="1"/>
    <col min="165" max="167" width="5" customWidth="1"/>
    <col min="168" max="168" width="5" bestFit="1" customWidth="1"/>
    <col min="169" max="169" width="3" customWidth="1"/>
    <col min="170" max="170" width="5" customWidth="1"/>
    <col min="171" max="171" width="4" customWidth="1"/>
    <col min="172" max="181" width="5" customWidth="1"/>
    <col min="182" max="183" width="5" bestFit="1" customWidth="1"/>
    <col min="184" max="184" width="3" customWidth="1"/>
    <col min="185" max="185" width="5" customWidth="1"/>
    <col min="186" max="186" width="4" customWidth="1"/>
    <col min="187" max="187" width="5" customWidth="1"/>
    <col min="188" max="188" width="4" customWidth="1"/>
    <col min="189" max="189" width="5" customWidth="1"/>
    <col min="190" max="190" width="7.140625" customWidth="1"/>
    <col min="191" max="191" width="9.85546875" customWidth="1"/>
    <col min="192" max="192" width="6.85546875" customWidth="1"/>
    <col min="193" max="199" width="5" customWidth="1"/>
    <col min="200" max="200" width="6" customWidth="1"/>
    <col min="201" max="203" width="5" customWidth="1"/>
    <col min="204" max="204" width="5" bestFit="1" customWidth="1"/>
    <col min="205" max="205" width="5" customWidth="1"/>
    <col min="206" max="208" width="5" bestFit="1" customWidth="1"/>
    <col min="209" max="211" width="5" customWidth="1"/>
    <col min="212" max="212" width="4" customWidth="1"/>
    <col min="213" max="215" width="5" customWidth="1"/>
    <col min="216" max="216" width="7.140625" customWidth="1"/>
    <col min="217" max="217" width="9.85546875" customWidth="1"/>
    <col min="218" max="218" width="6.85546875" customWidth="1"/>
    <col min="219" max="225" width="5" customWidth="1"/>
    <col min="226" max="226" width="5" bestFit="1" customWidth="1"/>
    <col min="227" max="230" width="5" customWidth="1"/>
    <col min="231" max="231" width="6" customWidth="1"/>
    <col min="232" max="232" width="5" customWidth="1"/>
    <col min="233" max="234" width="5" bestFit="1" customWidth="1"/>
    <col min="235" max="247" width="5" customWidth="1"/>
    <col min="248" max="250" width="4" customWidth="1"/>
    <col min="251" max="251" width="7.140625" customWidth="1"/>
    <col min="252" max="252" width="9.85546875" customWidth="1"/>
    <col min="253" max="253" width="6.85546875" customWidth="1"/>
    <col min="254" max="264" width="5" customWidth="1"/>
    <col min="265" max="265" width="4" customWidth="1"/>
    <col min="266" max="281" width="5" customWidth="1"/>
    <col min="282" max="282" width="5" bestFit="1" customWidth="1"/>
    <col min="283" max="283" width="4" customWidth="1"/>
    <col min="284" max="284" width="5" customWidth="1"/>
    <col min="285" max="285" width="3" customWidth="1"/>
    <col min="286" max="286" width="7.140625" customWidth="1"/>
    <col min="287" max="287" width="9.85546875" customWidth="1"/>
    <col min="288" max="288" width="6.85546875" customWidth="1"/>
    <col min="289" max="307" width="5" customWidth="1"/>
    <col min="308" max="308" width="6" customWidth="1"/>
    <col min="309" max="313" width="5" customWidth="1"/>
    <col min="314" max="314" width="5" bestFit="1" customWidth="1"/>
    <col min="315" max="315" width="5" customWidth="1"/>
    <col min="316" max="316" width="3" customWidth="1"/>
    <col min="317" max="317" width="5" customWidth="1"/>
    <col min="318" max="318" width="7.140625" customWidth="1"/>
    <col min="319" max="319" width="9.85546875" customWidth="1"/>
    <col min="320" max="320" width="6.85546875" customWidth="1"/>
    <col min="321" max="321" width="5" customWidth="1"/>
    <col min="322" max="324" width="6" customWidth="1"/>
    <col min="325" max="325" width="5" customWidth="1"/>
    <col min="326" max="329" width="6" customWidth="1"/>
    <col min="330" max="331" width="6" bestFit="1" customWidth="1"/>
    <col min="332" max="334" width="6" customWidth="1"/>
    <col min="335" max="335" width="5" customWidth="1"/>
    <col min="336" max="336" width="5" bestFit="1" customWidth="1"/>
    <col min="337" max="338" width="6" customWidth="1"/>
    <col min="339" max="340" width="5" customWidth="1"/>
    <col min="341" max="343" width="6" customWidth="1"/>
    <col min="344" max="345" width="5" customWidth="1"/>
    <col min="346" max="346" width="5" bestFit="1" customWidth="1"/>
    <col min="347" max="347" width="5" customWidth="1"/>
    <col min="348" max="348" width="7.140625" customWidth="1"/>
    <col min="349" max="349" width="9.85546875" customWidth="1"/>
    <col min="350" max="350" width="6.85546875" customWidth="1"/>
    <col min="351" max="351" width="6" customWidth="1"/>
    <col min="352" max="352" width="5" customWidth="1"/>
    <col min="353" max="354" width="6" customWidth="1"/>
    <col min="355" max="355" width="5" customWidth="1"/>
    <col min="356" max="357" width="6" customWidth="1"/>
    <col min="358" max="358" width="12" customWidth="1"/>
    <col min="359" max="359" width="5" customWidth="1"/>
    <col min="360" max="360" width="12" customWidth="1"/>
    <col min="361" max="361" width="6" customWidth="1"/>
    <col min="362" max="362" width="12" customWidth="1"/>
    <col min="363" max="363" width="6" bestFit="1" customWidth="1"/>
    <col min="364" max="364" width="5" customWidth="1"/>
    <col min="365" max="366" width="6" customWidth="1"/>
    <col min="367" max="367" width="12" customWidth="1"/>
    <col min="368" max="368" width="6" customWidth="1"/>
    <col min="369" max="369" width="12" customWidth="1"/>
    <col min="370" max="371" width="5" customWidth="1"/>
    <col min="372" max="376" width="6" customWidth="1"/>
    <col min="377" max="377" width="5" customWidth="1"/>
    <col min="378" max="378" width="6" bestFit="1" customWidth="1"/>
    <col min="379" max="379" width="12" customWidth="1"/>
    <col min="380" max="380" width="6" customWidth="1"/>
    <col min="381" max="382" width="5" customWidth="1"/>
    <col min="383" max="383" width="12" bestFit="1" customWidth="1"/>
    <col min="384" max="384" width="6" bestFit="1" customWidth="1"/>
    <col min="385" max="385" width="5" customWidth="1"/>
    <col min="386" max="386" width="5" bestFit="1" customWidth="1"/>
    <col min="387" max="388" width="6" bestFit="1" customWidth="1"/>
    <col min="389" max="391" width="5" customWidth="1"/>
    <col min="392" max="392" width="7.140625" customWidth="1"/>
    <col min="393" max="393" width="9.85546875" bestFit="1" customWidth="1"/>
    <col min="394" max="394" width="7.140625" customWidth="1"/>
    <col min="395" max="395" width="6.140625" bestFit="1" customWidth="1"/>
    <col min="396" max="396" width="9.140625" bestFit="1" customWidth="1"/>
    <col min="397" max="397" width="12.140625" bestFit="1" customWidth="1"/>
    <col min="398" max="398" width="11.140625" bestFit="1" customWidth="1"/>
    <col min="399" max="401" width="5" customWidth="1"/>
    <col min="402" max="402" width="12" bestFit="1" customWidth="1"/>
    <col min="403" max="403" width="9.42578125" bestFit="1" customWidth="1"/>
    <col min="404" max="404" width="2" customWidth="1"/>
    <col min="405" max="405" width="4" customWidth="1"/>
    <col min="406" max="407" width="5" customWidth="1"/>
    <col min="408" max="408" width="5" bestFit="1" customWidth="1"/>
    <col min="409" max="409" width="2" customWidth="1"/>
    <col min="410" max="410" width="4" customWidth="1"/>
    <col min="411" max="411" width="6" bestFit="1" customWidth="1"/>
    <col min="412" max="412" width="5" customWidth="1"/>
    <col min="413" max="413" width="6" bestFit="1" customWidth="1"/>
    <col min="414" max="416" width="5" customWidth="1"/>
    <col min="417" max="417" width="7.140625" customWidth="1"/>
    <col min="418" max="418" width="12.42578125" customWidth="1"/>
    <col min="419" max="419" width="13.42578125" bestFit="1" customWidth="1"/>
    <col min="420" max="420" width="4" customWidth="1"/>
    <col min="421" max="421" width="2" customWidth="1"/>
    <col min="422" max="423" width="5" bestFit="1" customWidth="1"/>
    <col min="424" max="424" width="16.5703125" bestFit="1" customWidth="1"/>
    <col min="425" max="425" width="12.85546875" bestFit="1" customWidth="1"/>
    <col min="426" max="426" width="5" customWidth="1"/>
    <col min="427" max="427" width="4" customWidth="1"/>
    <col min="428" max="428" width="6" customWidth="1"/>
    <col min="429" max="429" width="4" customWidth="1"/>
    <col min="430" max="430" width="5" customWidth="1"/>
    <col min="431" max="431" width="5" bestFit="1" customWidth="1"/>
    <col min="432" max="432" width="4" customWidth="1"/>
    <col min="433" max="433" width="8" bestFit="1" customWidth="1"/>
    <col min="434" max="434" width="5" bestFit="1" customWidth="1"/>
    <col min="435" max="436" width="5" customWidth="1"/>
    <col min="437" max="437" width="3" customWidth="1"/>
    <col min="438" max="438" width="5" bestFit="1" customWidth="1"/>
    <col min="439" max="439" width="6" bestFit="1" customWidth="1"/>
    <col min="440" max="440" width="5" customWidth="1"/>
    <col min="441" max="441" width="6" bestFit="1" customWidth="1"/>
    <col min="442" max="442" width="5" customWidth="1"/>
    <col min="443" max="443" width="6" bestFit="1" customWidth="1"/>
    <col min="444" max="444" width="5" bestFit="1" customWidth="1"/>
    <col min="445" max="445" width="6" bestFit="1" customWidth="1"/>
    <col min="446" max="446" width="3" customWidth="1"/>
    <col min="447" max="447" width="5" customWidth="1"/>
    <col min="448" max="448" width="5" bestFit="1" customWidth="1"/>
    <col min="449" max="449" width="6" customWidth="1"/>
    <col min="450" max="450" width="5" customWidth="1"/>
    <col min="451" max="451" width="6" customWidth="1"/>
    <col min="452" max="452" width="15.85546875" bestFit="1" customWidth="1"/>
    <col min="453" max="453" width="11.5703125" bestFit="1" customWidth="1"/>
    <col min="454" max="455" width="5" customWidth="1"/>
    <col min="456" max="456" width="5" bestFit="1" customWidth="1"/>
    <col min="457" max="457" width="5" customWidth="1"/>
    <col min="458" max="458" width="5" bestFit="1" customWidth="1"/>
    <col min="459" max="459" width="5" customWidth="1"/>
    <col min="460" max="460" width="6" customWidth="1"/>
    <col min="461" max="461" width="6" bestFit="1" customWidth="1"/>
    <col min="462" max="462" width="5" bestFit="1" customWidth="1"/>
    <col min="463" max="463" width="14.85546875" bestFit="1" customWidth="1"/>
    <col min="464" max="464" width="12" bestFit="1" customWidth="1"/>
    <col min="465" max="465" width="5" bestFit="1" customWidth="1"/>
    <col min="466" max="467" width="6" bestFit="1" customWidth="1"/>
    <col min="468" max="468" width="5" bestFit="1" customWidth="1"/>
    <col min="469" max="470" width="5" customWidth="1"/>
    <col min="471" max="471" width="15.140625" customWidth="1"/>
    <col min="472" max="472" width="11.85546875" customWidth="1"/>
    <col min="473" max="473" width="5" customWidth="1"/>
    <col min="474" max="474" width="4" customWidth="1"/>
    <col min="475" max="475" width="5" bestFit="1" customWidth="1"/>
    <col min="476" max="476" width="4" customWidth="1"/>
    <col min="477" max="477" width="7" bestFit="1" customWidth="1"/>
    <col min="478" max="479" width="4" customWidth="1"/>
    <col min="480" max="480" width="2" customWidth="1"/>
    <col min="481" max="481" width="6" bestFit="1" customWidth="1"/>
    <col min="482" max="482" width="5" customWidth="1"/>
    <col min="483" max="485" width="4" customWidth="1"/>
    <col min="486" max="489" width="5" customWidth="1"/>
    <col min="490" max="492" width="4" customWidth="1"/>
    <col min="493" max="493" width="5" customWidth="1"/>
    <col min="494" max="494" width="2" customWidth="1"/>
    <col min="495" max="495" width="5" customWidth="1"/>
    <col min="496" max="496" width="7" bestFit="1" customWidth="1"/>
    <col min="497" max="497" width="4" customWidth="1"/>
    <col min="498" max="498" width="5" customWidth="1"/>
    <col min="499" max="500" width="4" customWidth="1"/>
    <col min="501" max="501" width="7" bestFit="1" customWidth="1"/>
    <col min="502" max="502" width="4" customWidth="1"/>
    <col min="503" max="504" width="5" customWidth="1"/>
    <col min="505" max="505" width="4" customWidth="1"/>
    <col min="506" max="506" width="5" bestFit="1" customWidth="1"/>
    <col min="507" max="507" width="4" bestFit="1" customWidth="1"/>
    <col min="508" max="508" width="4" customWidth="1"/>
    <col min="509" max="509" width="5" bestFit="1" customWidth="1"/>
    <col min="510" max="510" width="4" bestFit="1" customWidth="1"/>
    <col min="511" max="511" width="2" customWidth="1"/>
    <col min="512" max="512" width="5" bestFit="1" customWidth="1"/>
    <col min="513" max="513" width="4" bestFit="1" customWidth="1"/>
    <col min="514" max="516" width="5" bestFit="1" customWidth="1"/>
    <col min="517" max="517" width="4" customWidth="1"/>
    <col min="518" max="518" width="5" bestFit="1" customWidth="1"/>
    <col min="519" max="519" width="7" bestFit="1" customWidth="1"/>
    <col min="520" max="520" width="5" bestFit="1" customWidth="1"/>
    <col min="521" max="521" width="4" customWidth="1"/>
    <col min="522" max="522" width="5" customWidth="1"/>
    <col min="523" max="523" width="4" customWidth="1"/>
    <col min="524" max="524" width="7" bestFit="1" customWidth="1"/>
    <col min="525" max="525" width="4" customWidth="1"/>
    <col min="526" max="526" width="2" customWidth="1"/>
    <col min="527" max="527" width="5" bestFit="1" customWidth="1"/>
    <col min="528" max="528" width="6" bestFit="1" customWidth="1"/>
    <col min="529" max="529" width="4" customWidth="1"/>
    <col min="530" max="532" width="5" customWidth="1"/>
    <col min="533" max="533" width="7" customWidth="1"/>
    <col min="534" max="535" width="4" customWidth="1"/>
    <col min="536" max="536" width="5" customWidth="1"/>
    <col min="537" max="537" width="4" bestFit="1" customWidth="1"/>
    <col min="538" max="539" width="5" bestFit="1" customWidth="1"/>
    <col min="540" max="540" width="4" bestFit="1" customWidth="1"/>
    <col min="541" max="541" width="4" customWidth="1"/>
    <col min="542" max="542" width="5" bestFit="1" customWidth="1"/>
    <col min="543" max="543" width="7" bestFit="1" customWidth="1"/>
    <col min="544" max="544" width="4" customWidth="1"/>
    <col min="545" max="545" width="4" bestFit="1" customWidth="1"/>
    <col min="546" max="546" width="5" customWidth="1"/>
    <col min="547" max="548" width="5" bestFit="1" customWidth="1"/>
    <col min="549" max="549" width="4" bestFit="1" customWidth="1"/>
    <col min="550" max="550" width="4" customWidth="1"/>
    <col min="551" max="551" width="5" bestFit="1" customWidth="1"/>
    <col min="552" max="552" width="4" customWidth="1"/>
    <col min="553" max="553" width="6" bestFit="1" customWidth="1"/>
    <col min="554" max="554" width="5" customWidth="1"/>
    <col min="555" max="556" width="4" customWidth="1"/>
    <col min="557" max="557" width="2" customWidth="1"/>
    <col min="558" max="558" width="5" bestFit="1" customWidth="1"/>
    <col min="559" max="561" width="4" customWidth="1"/>
    <col min="562" max="562" width="5" customWidth="1"/>
    <col min="563" max="563" width="5" bestFit="1" customWidth="1"/>
    <col min="564" max="564" width="4" customWidth="1"/>
    <col min="565" max="565" width="5" customWidth="1"/>
    <col min="566" max="567" width="4" customWidth="1"/>
    <col min="568" max="568" width="2" customWidth="1"/>
    <col min="569" max="569" width="7" bestFit="1" customWidth="1"/>
    <col min="570" max="571" width="5" bestFit="1" customWidth="1"/>
    <col min="572" max="572" width="4" bestFit="1" customWidth="1"/>
    <col min="573" max="574" width="4" customWidth="1"/>
    <col min="575" max="575" width="4" bestFit="1" customWidth="1"/>
    <col min="576" max="577" width="5" bestFit="1" customWidth="1"/>
    <col min="578" max="578" width="7" bestFit="1" customWidth="1"/>
    <col min="579" max="579" width="5" bestFit="1" customWidth="1"/>
    <col min="580" max="580" width="4" customWidth="1"/>
    <col min="581" max="581" width="5" customWidth="1"/>
    <col min="582" max="582" width="4" customWidth="1"/>
    <col min="583" max="583" width="5" customWidth="1"/>
    <col min="584" max="584" width="4" customWidth="1"/>
    <col min="585" max="585" width="5" customWidth="1"/>
    <col min="586" max="586" width="4" bestFit="1" customWidth="1"/>
    <col min="587" max="587" width="4" customWidth="1"/>
    <col min="588" max="588" width="5" customWidth="1"/>
    <col min="589" max="590" width="5" bestFit="1" customWidth="1"/>
    <col min="591" max="591" width="4" bestFit="1" customWidth="1"/>
    <col min="592" max="592" width="3" customWidth="1"/>
    <col min="593" max="593" width="6" customWidth="1"/>
    <col min="594" max="596" width="5" bestFit="1" customWidth="1"/>
    <col min="597" max="597" width="6" bestFit="1" customWidth="1"/>
    <col min="598" max="598" width="5" bestFit="1" customWidth="1"/>
    <col min="599" max="599" width="5" customWidth="1"/>
    <col min="600" max="600" width="6" bestFit="1" customWidth="1"/>
    <col min="601" max="601" width="5" bestFit="1" customWidth="1"/>
    <col min="602" max="602" width="6" bestFit="1" customWidth="1"/>
    <col min="603" max="603" width="5" customWidth="1"/>
    <col min="604" max="605" width="6" customWidth="1"/>
    <col min="606" max="606" width="5" customWidth="1"/>
    <col min="607" max="607" width="5" bestFit="1" customWidth="1"/>
    <col min="608" max="608" width="7" bestFit="1" customWidth="1"/>
    <col min="609" max="610" width="5" bestFit="1" customWidth="1"/>
    <col min="611" max="612" width="6" bestFit="1" customWidth="1"/>
    <col min="613" max="613" width="3" customWidth="1"/>
    <col min="614" max="616" width="5" bestFit="1" customWidth="1"/>
    <col min="617" max="617" width="8" bestFit="1" customWidth="1"/>
    <col min="618" max="618" width="6" bestFit="1" customWidth="1"/>
    <col min="619" max="620" width="5" bestFit="1" customWidth="1"/>
    <col min="621" max="621" width="6" bestFit="1" customWidth="1"/>
    <col min="622" max="622" width="5" bestFit="1" customWidth="1"/>
    <col min="623" max="624" width="3" customWidth="1"/>
    <col min="625" max="625" width="6" bestFit="1" customWidth="1"/>
    <col min="626" max="626" width="5" customWidth="1"/>
    <col min="627" max="627" width="7.140625" bestFit="1" customWidth="1"/>
    <col min="628" max="628" width="15" bestFit="1" customWidth="1"/>
    <col min="629" max="629" width="14" bestFit="1" customWidth="1"/>
    <col min="630" max="630" width="5" bestFit="1" customWidth="1"/>
    <col min="631" max="631" width="4" bestFit="1" customWidth="1"/>
    <col min="632" max="632" width="4" customWidth="1"/>
    <col min="633" max="633" width="2" customWidth="1"/>
    <col min="634" max="634" width="4" customWidth="1"/>
    <col min="635" max="636" width="4" bestFit="1" customWidth="1"/>
    <col min="637" max="637" width="5" bestFit="1" customWidth="1"/>
    <col min="638" max="638" width="6" bestFit="1" customWidth="1"/>
    <col min="639" max="639" width="17.140625" bestFit="1" customWidth="1"/>
    <col min="640" max="640" width="13.140625" bestFit="1" customWidth="1"/>
    <col min="641" max="641" width="5" bestFit="1" customWidth="1"/>
    <col min="642" max="642" width="16.42578125" bestFit="1" customWidth="1"/>
    <col min="643" max="643" width="9.85546875" bestFit="1" customWidth="1"/>
    <col min="644" max="644" width="5" bestFit="1" customWidth="1"/>
    <col min="645" max="645" width="4" bestFit="1" customWidth="1"/>
    <col min="646" max="646" width="5" bestFit="1" customWidth="1"/>
    <col min="647" max="647" width="5" customWidth="1"/>
    <col min="648" max="648" width="2" customWidth="1"/>
    <col min="649" max="649" width="4" customWidth="1"/>
    <col min="650" max="650" width="7" bestFit="1" customWidth="1"/>
    <col min="651" max="651" width="5" bestFit="1" customWidth="1"/>
    <col min="652" max="652" width="2" customWidth="1"/>
    <col min="653" max="654" width="4" customWidth="1"/>
    <col min="655" max="655" width="5" bestFit="1" customWidth="1"/>
    <col min="656" max="656" width="4" customWidth="1"/>
    <col min="657" max="657" width="5" bestFit="1" customWidth="1"/>
    <col min="658" max="661" width="4" customWidth="1"/>
    <col min="662" max="662" width="5" customWidth="1"/>
    <col min="663" max="663" width="4" bestFit="1" customWidth="1"/>
    <col min="664" max="666" width="5" bestFit="1" customWidth="1"/>
    <col min="667" max="667" width="4" bestFit="1" customWidth="1"/>
    <col min="668" max="668" width="4" customWidth="1"/>
    <col min="669" max="669" width="5" bestFit="1" customWidth="1"/>
    <col min="670" max="670" width="4" customWidth="1"/>
    <col min="671" max="672" width="5" bestFit="1" customWidth="1"/>
    <col min="673" max="673" width="6" bestFit="1" customWidth="1"/>
    <col min="674" max="674" width="5" bestFit="1" customWidth="1"/>
    <col min="675" max="675" width="6" bestFit="1" customWidth="1"/>
    <col min="676" max="676" width="5" bestFit="1" customWidth="1"/>
    <col min="677" max="677" width="6" customWidth="1"/>
    <col min="678" max="678" width="6" bestFit="1" customWidth="1"/>
    <col min="679" max="679" width="5" customWidth="1"/>
    <col min="680" max="680" width="6" customWidth="1"/>
    <col min="681" max="681" width="7" customWidth="1"/>
    <col min="682" max="682" width="3" customWidth="1"/>
    <col min="683" max="683" width="3" bestFit="1" customWidth="1"/>
    <col min="684" max="685" width="6" bestFit="1" customWidth="1"/>
    <col min="686" max="687" width="5" bestFit="1" customWidth="1"/>
    <col min="688" max="689" width="5" customWidth="1"/>
    <col min="690" max="690" width="5" bestFit="1" customWidth="1"/>
    <col min="691" max="691" width="6" bestFit="1" customWidth="1"/>
    <col min="692" max="692" width="5" bestFit="1" customWidth="1"/>
    <col min="693" max="693" width="3" customWidth="1"/>
    <col min="694" max="694" width="6" customWidth="1"/>
    <col min="695" max="695" width="5" bestFit="1" customWidth="1"/>
    <col min="696" max="696" width="6" bestFit="1" customWidth="1"/>
    <col min="697" max="697" width="7.140625" bestFit="1" customWidth="1"/>
    <col min="698" max="698" width="12.85546875" bestFit="1" customWidth="1"/>
    <col min="699" max="699" width="17.140625" bestFit="1" customWidth="1"/>
    <col min="700" max="700" width="6" bestFit="1" customWidth="1"/>
    <col min="701" max="702" width="5" customWidth="1"/>
    <col min="703" max="703" width="4" bestFit="1" customWidth="1"/>
    <col min="704" max="704" width="4" customWidth="1"/>
    <col min="705" max="706" width="4" bestFit="1" customWidth="1"/>
    <col min="707" max="707" width="5" bestFit="1" customWidth="1"/>
    <col min="708" max="709" width="4" bestFit="1" customWidth="1"/>
    <col min="710" max="711" width="4" customWidth="1"/>
    <col min="712" max="712" width="20.42578125" bestFit="1" customWidth="1"/>
    <col min="713" max="713" width="10.85546875" bestFit="1" customWidth="1"/>
    <col min="714" max="714" width="7" bestFit="1" customWidth="1"/>
    <col min="715" max="716" width="4" customWidth="1"/>
    <col min="717" max="718" width="5" bestFit="1" customWidth="1"/>
    <col min="719" max="719" width="13.85546875" bestFit="1" customWidth="1"/>
    <col min="720" max="720" width="7.85546875" bestFit="1" customWidth="1"/>
    <col min="721" max="721" width="4" bestFit="1" customWidth="1"/>
    <col min="722" max="723" width="5" bestFit="1" customWidth="1"/>
    <col min="724" max="725" width="4" customWidth="1"/>
    <col min="726" max="726" width="10.85546875" bestFit="1" customWidth="1"/>
    <col min="727" max="727" width="9.140625" bestFit="1" customWidth="1"/>
    <col min="728" max="728" width="5" customWidth="1"/>
    <col min="729" max="729" width="7" bestFit="1" customWidth="1"/>
    <col min="730" max="730" width="6" bestFit="1" customWidth="1"/>
    <col min="731" max="731" width="7" bestFit="1" customWidth="1"/>
    <col min="732" max="732" width="8" bestFit="1" customWidth="1"/>
    <col min="733" max="733" width="6" bestFit="1" customWidth="1"/>
    <col min="734" max="734" width="9" bestFit="1" customWidth="1"/>
    <col min="735" max="735" width="7" bestFit="1" customWidth="1"/>
    <col min="736" max="736" width="7.140625" bestFit="1" customWidth="1"/>
    <col min="737" max="737" width="12.140625" bestFit="1" customWidth="1"/>
    <col min="738" max="738" width="11.140625" bestFit="1" customWidth="1"/>
    <col min="739" max="739" width="9.42578125" bestFit="1" customWidth="1"/>
    <col min="740" max="740" width="7.85546875" bestFit="1" customWidth="1"/>
    <col min="741" max="741" width="10.42578125" bestFit="1" customWidth="1"/>
    <col min="742" max="742" width="6.85546875" bestFit="1" customWidth="1"/>
    <col min="743" max="743" width="5" bestFit="1" customWidth="1"/>
    <col min="744" max="744" width="9.42578125" bestFit="1" customWidth="1"/>
    <col min="745" max="745" width="6.85546875" bestFit="1" customWidth="1"/>
    <col min="746" max="748" width="4" bestFit="1" customWidth="1"/>
    <col min="749" max="749" width="5" bestFit="1" customWidth="1"/>
    <col min="750" max="750" width="9.42578125" bestFit="1" customWidth="1"/>
    <col min="751" max="751" width="6.85546875" bestFit="1" customWidth="1"/>
    <col min="752" max="752" width="9.42578125" bestFit="1" customWidth="1"/>
    <col min="753" max="753" width="4.85546875" bestFit="1" customWidth="1"/>
    <col min="754" max="754" width="5" bestFit="1" customWidth="1"/>
    <col min="755" max="755" width="2" bestFit="1" customWidth="1"/>
    <col min="756" max="756" width="5" bestFit="1" customWidth="1"/>
    <col min="757" max="757" width="4" bestFit="1" customWidth="1"/>
    <col min="758" max="759" width="5" bestFit="1" customWidth="1"/>
    <col min="760" max="760" width="7.85546875" bestFit="1" customWidth="1"/>
    <col min="761" max="761" width="6.85546875" bestFit="1" customWidth="1"/>
    <col min="762" max="762" width="9.42578125" bestFit="1" customWidth="1"/>
    <col min="763" max="763" width="6.85546875" bestFit="1" customWidth="1"/>
    <col min="764" max="764" width="5" bestFit="1" customWidth="1"/>
    <col min="765" max="765" width="9.42578125" bestFit="1" customWidth="1"/>
    <col min="766" max="766" width="6.85546875" bestFit="1" customWidth="1"/>
    <col min="767" max="767" width="4" bestFit="1" customWidth="1"/>
    <col min="768" max="768" width="5" bestFit="1" customWidth="1"/>
    <col min="769" max="769" width="9.42578125" bestFit="1" customWidth="1"/>
    <col min="770" max="770" width="6.85546875" bestFit="1" customWidth="1"/>
    <col min="771" max="771" width="9.42578125" bestFit="1" customWidth="1"/>
    <col min="772" max="772" width="6.85546875" bestFit="1" customWidth="1"/>
    <col min="773" max="777" width="4" bestFit="1" customWidth="1"/>
    <col min="778" max="778" width="5" bestFit="1" customWidth="1"/>
    <col min="779" max="779" width="9.42578125" bestFit="1" customWidth="1"/>
    <col min="780" max="781" width="5" bestFit="1" customWidth="1"/>
    <col min="782" max="783" width="4" bestFit="1" customWidth="1"/>
    <col min="784" max="784" width="5" bestFit="1" customWidth="1"/>
    <col min="785" max="786" width="4" bestFit="1" customWidth="1"/>
    <col min="787" max="787" width="5" bestFit="1" customWidth="1"/>
    <col min="788" max="788" width="7.85546875" bestFit="1" customWidth="1"/>
    <col min="789" max="789" width="6.85546875" bestFit="1" customWidth="1"/>
    <col min="790" max="790" width="9.42578125" bestFit="1" customWidth="1"/>
    <col min="791" max="791" width="4.85546875" bestFit="1" customWidth="1"/>
    <col min="792" max="792" width="4" bestFit="1" customWidth="1"/>
    <col min="793" max="793" width="5" bestFit="1" customWidth="1"/>
    <col min="794" max="794" width="7.85546875" bestFit="1" customWidth="1"/>
    <col min="795" max="795" width="6.85546875" bestFit="1" customWidth="1"/>
    <col min="796" max="796" width="5" bestFit="1" customWidth="1"/>
    <col min="797" max="797" width="9.42578125" bestFit="1" customWidth="1"/>
    <col min="798" max="798" width="6.85546875" bestFit="1" customWidth="1"/>
    <col min="799" max="799" width="2" bestFit="1" customWidth="1"/>
    <col min="800" max="800" width="9.42578125" bestFit="1" customWidth="1"/>
    <col min="801" max="801" width="4.85546875" bestFit="1" customWidth="1"/>
    <col min="802" max="803" width="4" bestFit="1" customWidth="1"/>
    <col min="804" max="804" width="7.85546875" bestFit="1" customWidth="1"/>
    <col min="805" max="805" width="6.85546875" bestFit="1" customWidth="1"/>
    <col min="806" max="806" width="9.42578125" bestFit="1" customWidth="1"/>
    <col min="807" max="807" width="4.85546875" bestFit="1" customWidth="1"/>
    <col min="808" max="809" width="4" bestFit="1" customWidth="1"/>
    <col min="810" max="810" width="5" bestFit="1" customWidth="1"/>
    <col min="811" max="811" width="7.85546875" bestFit="1" customWidth="1"/>
    <col min="812" max="812" width="6.85546875" bestFit="1" customWidth="1"/>
    <col min="813" max="813" width="9.42578125" bestFit="1" customWidth="1"/>
    <col min="814" max="814" width="5" bestFit="1" customWidth="1"/>
    <col min="815" max="815" width="2" bestFit="1" customWidth="1"/>
    <col min="816" max="816" width="7.85546875" bestFit="1" customWidth="1"/>
    <col min="817" max="817" width="7.140625" bestFit="1" customWidth="1"/>
    <col min="818" max="818" width="9.42578125" bestFit="1" customWidth="1"/>
    <col min="819" max="819" width="6.85546875" bestFit="1" customWidth="1"/>
    <col min="820" max="820" width="9.42578125" bestFit="1" customWidth="1"/>
    <col min="821" max="821" width="6" bestFit="1" customWidth="1"/>
    <col min="822" max="822" width="7.85546875" bestFit="1" customWidth="1"/>
    <col min="823" max="823" width="4.85546875" bestFit="1" customWidth="1"/>
    <col min="824" max="824" width="7.85546875" bestFit="1" customWidth="1"/>
    <col min="825" max="825" width="5" bestFit="1" customWidth="1"/>
    <col min="826" max="827" width="4" bestFit="1" customWidth="1"/>
    <col min="828" max="828" width="7.85546875" bestFit="1" customWidth="1"/>
    <col min="829" max="829" width="4.85546875" bestFit="1" customWidth="1"/>
    <col min="830" max="830" width="7.85546875" bestFit="1" customWidth="1"/>
    <col min="831" max="831" width="6.85546875" bestFit="1" customWidth="1"/>
    <col min="832" max="832" width="9.42578125" bestFit="1" customWidth="1"/>
    <col min="833" max="833" width="6.85546875" bestFit="1" customWidth="1"/>
    <col min="834" max="834" width="9.42578125" bestFit="1" customWidth="1"/>
    <col min="835" max="835" width="4.85546875" bestFit="1" customWidth="1"/>
    <col min="836" max="836" width="7.85546875" bestFit="1" customWidth="1"/>
    <col min="837" max="837" width="4.85546875" bestFit="1" customWidth="1"/>
    <col min="838" max="838" width="7.85546875" bestFit="1" customWidth="1"/>
    <col min="839" max="839" width="6.85546875" bestFit="1" customWidth="1"/>
    <col min="840" max="840" width="9.42578125" bestFit="1" customWidth="1"/>
    <col min="841" max="841" width="3.140625" bestFit="1" customWidth="1"/>
    <col min="842" max="843" width="4" bestFit="1" customWidth="1"/>
    <col min="844" max="844" width="2" bestFit="1" customWidth="1"/>
    <col min="845" max="845" width="6.140625" bestFit="1" customWidth="1"/>
    <col min="847" max="847" width="4" bestFit="1" customWidth="1"/>
    <col min="848" max="848" width="5" bestFit="1" customWidth="1"/>
    <col min="849" max="849" width="4" bestFit="1" customWidth="1"/>
    <col min="850" max="850" width="5" bestFit="1" customWidth="1"/>
    <col min="851" max="851" width="7" bestFit="1" customWidth="1"/>
    <col min="852" max="852" width="2" bestFit="1" customWidth="1"/>
    <col min="853" max="853" width="6" bestFit="1" customWidth="1"/>
    <col min="854" max="856" width="4" bestFit="1" customWidth="1"/>
    <col min="857" max="857" width="7" bestFit="1" customWidth="1"/>
    <col min="858" max="858" width="5" bestFit="1" customWidth="1"/>
    <col min="859" max="859" width="7" bestFit="1" customWidth="1"/>
    <col min="860" max="861" width="5" bestFit="1" customWidth="1"/>
    <col min="862" max="862" width="4" bestFit="1" customWidth="1"/>
    <col min="863" max="864" width="6" bestFit="1" customWidth="1"/>
    <col min="865" max="867" width="4" bestFit="1" customWidth="1"/>
    <col min="868" max="868" width="5" bestFit="1" customWidth="1"/>
    <col min="869" max="871" width="4" bestFit="1" customWidth="1"/>
    <col min="872" max="873" width="5" bestFit="1" customWidth="1"/>
    <col min="874" max="874" width="6" bestFit="1" customWidth="1"/>
    <col min="875" max="875" width="7" bestFit="1" customWidth="1"/>
    <col min="876" max="876" width="6" bestFit="1" customWidth="1"/>
    <col min="877" max="877" width="3" bestFit="1" customWidth="1"/>
    <col min="878" max="880" width="5" bestFit="1" customWidth="1"/>
    <col min="881" max="881" width="6" bestFit="1" customWidth="1"/>
    <col min="882" max="882" width="5" bestFit="1" customWidth="1"/>
    <col min="883" max="883" width="7" bestFit="1" customWidth="1"/>
    <col min="884" max="884" width="6" bestFit="1" customWidth="1"/>
    <col min="885" max="885" width="7" bestFit="1" customWidth="1"/>
    <col min="886" max="886" width="8" bestFit="1" customWidth="1"/>
    <col min="887" max="887" width="6" bestFit="1" customWidth="1"/>
    <col min="888" max="888" width="9" bestFit="1" customWidth="1"/>
    <col min="889" max="889" width="7" bestFit="1" customWidth="1"/>
    <col min="890" max="890" width="7.140625" bestFit="1" customWidth="1"/>
    <col min="891" max="891" width="12.140625" bestFit="1" customWidth="1"/>
    <col min="892" max="892" width="11.140625" bestFit="1" customWidth="1"/>
  </cols>
  <sheetData>
    <row r="2" spans="1:5" x14ac:dyDescent="0.25">
      <c r="A2" s="17" t="s">
        <v>0</v>
      </c>
      <c r="B2" t="s">
        <v>159</v>
      </c>
    </row>
    <row r="3" spans="1:5" x14ac:dyDescent="0.25">
      <c r="A3" s="17" t="s">
        <v>80</v>
      </c>
      <c r="B3" t="s">
        <v>159</v>
      </c>
    </row>
    <row r="5" spans="1:5" x14ac:dyDescent="0.25">
      <c r="B5" s="17" t="s">
        <v>155</v>
      </c>
    </row>
    <row r="6" spans="1:5" x14ac:dyDescent="0.25">
      <c r="A6" s="17" t="s">
        <v>138</v>
      </c>
      <c r="B6" t="s">
        <v>139</v>
      </c>
      <c r="C6" t="s">
        <v>156</v>
      </c>
      <c r="D6" t="s">
        <v>157</v>
      </c>
      <c r="E6" t="s">
        <v>158</v>
      </c>
    </row>
    <row r="7" spans="1:5" x14ac:dyDescent="0.25">
      <c r="A7" s="18" t="s">
        <v>120</v>
      </c>
      <c r="B7" s="19">
        <v>204.27999999999997</v>
      </c>
      <c r="C7" s="29">
        <v>22.216666666666672</v>
      </c>
      <c r="D7" s="28">
        <v>3.5503333333333331</v>
      </c>
      <c r="E7" s="29">
        <v>7.4196666666666671</v>
      </c>
    </row>
    <row r="8" spans="1:5" x14ac:dyDescent="0.25">
      <c r="A8" s="30">
        <v>4.2</v>
      </c>
      <c r="B8" s="19">
        <v>4.2</v>
      </c>
      <c r="C8" s="19">
        <v>23.8</v>
      </c>
      <c r="D8" s="28">
        <v>3.46</v>
      </c>
      <c r="E8" s="19">
        <v>7.9</v>
      </c>
    </row>
    <row r="9" spans="1:5" x14ac:dyDescent="0.25">
      <c r="A9" s="30">
        <v>5.84</v>
      </c>
      <c r="B9" s="19">
        <v>5.84</v>
      </c>
      <c r="C9" s="19">
        <v>22.5</v>
      </c>
      <c r="D9" s="28">
        <v>3.63</v>
      </c>
      <c r="E9" s="19">
        <v>5.4</v>
      </c>
    </row>
    <row r="10" spans="1:5" x14ac:dyDescent="0.25">
      <c r="A10" s="30">
        <v>5.89</v>
      </c>
      <c r="B10" s="19">
        <v>5.89</v>
      </c>
      <c r="C10" s="19">
        <v>21.25</v>
      </c>
      <c r="D10" s="28">
        <v>3.64</v>
      </c>
      <c r="E10" s="19">
        <v>5.43</v>
      </c>
    </row>
    <row r="11" spans="1:5" x14ac:dyDescent="0.25">
      <c r="A11" s="30">
        <v>7.5</v>
      </c>
      <c r="B11" s="19">
        <v>7.5</v>
      </c>
      <c r="C11" s="19">
        <v>21.6</v>
      </c>
      <c r="D11" s="28">
        <v>3.96</v>
      </c>
      <c r="E11" s="19">
        <v>4</v>
      </c>
    </row>
    <row r="12" spans="1:5" x14ac:dyDescent="0.25">
      <c r="A12" s="30">
        <v>9.9</v>
      </c>
      <c r="B12" s="19">
        <v>9.9</v>
      </c>
      <c r="C12" s="19">
        <v>22.8</v>
      </c>
      <c r="D12" s="28">
        <v>3.55</v>
      </c>
      <c r="E12" s="19">
        <v>8.1</v>
      </c>
    </row>
    <row r="13" spans="1:5" x14ac:dyDescent="0.25">
      <c r="A13" s="30">
        <v>10.199999999999999</v>
      </c>
      <c r="B13" s="19">
        <v>10.199999999999999</v>
      </c>
      <c r="C13" s="19">
        <v>24.2</v>
      </c>
      <c r="D13" s="28">
        <v>3.31</v>
      </c>
      <c r="E13" s="19">
        <v>9.4</v>
      </c>
    </row>
    <row r="14" spans="1:5" x14ac:dyDescent="0.25">
      <c r="A14" s="30">
        <v>10.6</v>
      </c>
      <c r="B14" s="19">
        <v>10.6</v>
      </c>
      <c r="C14" s="19">
        <v>23</v>
      </c>
      <c r="D14" s="28">
        <v>3.95</v>
      </c>
      <c r="E14" s="19">
        <v>6.6</v>
      </c>
    </row>
    <row r="15" spans="1:5" x14ac:dyDescent="0.25">
      <c r="A15" s="30">
        <v>10.7</v>
      </c>
      <c r="B15" s="19">
        <v>10.7</v>
      </c>
      <c r="C15" s="19">
        <v>21</v>
      </c>
      <c r="D15" s="28">
        <v>3.72</v>
      </c>
      <c r="E15" s="19">
        <v>6.53</v>
      </c>
    </row>
    <row r="16" spans="1:5" x14ac:dyDescent="0.25">
      <c r="A16" s="30">
        <v>11.41</v>
      </c>
      <c r="B16" s="19">
        <v>11.41</v>
      </c>
      <c r="C16" s="19">
        <v>23.4</v>
      </c>
      <c r="D16" s="28">
        <v>3.5</v>
      </c>
      <c r="E16" s="19">
        <v>8.1</v>
      </c>
    </row>
    <row r="17" spans="1:5" x14ac:dyDescent="0.25">
      <c r="A17" s="30">
        <v>12.81</v>
      </c>
      <c r="B17" s="19">
        <v>12.81</v>
      </c>
      <c r="C17" s="19">
        <v>21.8</v>
      </c>
      <c r="D17" s="28">
        <v>3.5</v>
      </c>
      <c r="E17" s="19">
        <v>8.4</v>
      </c>
    </row>
    <row r="18" spans="1:5" x14ac:dyDescent="0.25">
      <c r="A18" s="30">
        <v>13.3</v>
      </c>
      <c r="B18" s="19">
        <v>13.3</v>
      </c>
      <c r="C18" s="19">
        <v>22.6</v>
      </c>
      <c r="D18" s="28">
        <v>3.49</v>
      </c>
      <c r="E18" s="19">
        <v>5.7</v>
      </c>
    </row>
    <row r="19" spans="1:5" x14ac:dyDescent="0.25">
      <c r="A19" s="30">
        <v>16.05</v>
      </c>
      <c r="B19" s="19">
        <v>16.05</v>
      </c>
      <c r="C19" s="19">
        <v>22.2</v>
      </c>
      <c r="D19" s="28">
        <v>3.37</v>
      </c>
      <c r="E19" s="19">
        <v>9</v>
      </c>
    </row>
    <row r="20" spans="1:5" x14ac:dyDescent="0.25">
      <c r="A20" s="30">
        <v>23.04</v>
      </c>
      <c r="B20" s="19">
        <v>23.04</v>
      </c>
      <c r="C20" s="19">
        <v>22.5</v>
      </c>
      <c r="D20" s="28">
        <v>3.4249999999999998</v>
      </c>
      <c r="E20" s="19">
        <v>8.3049999999999997</v>
      </c>
    </row>
    <row r="21" spans="1:5" x14ac:dyDescent="0.25">
      <c r="A21" s="30">
        <v>28.04</v>
      </c>
      <c r="B21" s="19">
        <v>28.04</v>
      </c>
      <c r="C21" s="19">
        <v>21.6</v>
      </c>
      <c r="D21" s="28">
        <v>3.41</v>
      </c>
      <c r="E21" s="19">
        <v>8.6</v>
      </c>
    </row>
    <row r="22" spans="1:5" x14ac:dyDescent="0.25">
      <c r="A22" s="30">
        <v>34.799999999999997</v>
      </c>
      <c r="B22" s="19">
        <v>34.799999999999997</v>
      </c>
      <c r="C22" s="19">
        <v>19</v>
      </c>
      <c r="D22" s="28">
        <v>3.34</v>
      </c>
      <c r="E22" s="19">
        <v>9.83</v>
      </c>
    </row>
    <row r="23" spans="1:5" x14ac:dyDescent="0.25">
      <c r="A23" s="18" t="s">
        <v>131</v>
      </c>
      <c r="B23" s="19">
        <v>3.17</v>
      </c>
      <c r="C23" s="29">
        <v>22.4</v>
      </c>
      <c r="D23" s="28">
        <v>3.36</v>
      </c>
      <c r="E23" s="29">
        <v>9.15</v>
      </c>
    </row>
    <row r="24" spans="1:5" x14ac:dyDescent="0.25">
      <c r="A24" s="30">
        <v>3.17</v>
      </c>
      <c r="B24" s="19">
        <v>3.17</v>
      </c>
      <c r="C24" s="19">
        <v>22.4</v>
      </c>
      <c r="D24" s="28">
        <v>3.36</v>
      </c>
      <c r="E24" s="19">
        <v>9.15</v>
      </c>
    </row>
    <row r="25" spans="1:5" x14ac:dyDescent="0.25">
      <c r="A25" s="18" t="s">
        <v>127</v>
      </c>
      <c r="B25" s="19">
        <v>18.22</v>
      </c>
      <c r="C25" s="29">
        <v>22.65</v>
      </c>
      <c r="D25" s="28">
        <v>3.3525</v>
      </c>
      <c r="E25" s="29">
        <v>8.2249999999999996</v>
      </c>
    </row>
    <row r="26" spans="1:5" x14ac:dyDescent="0.25">
      <c r="A26" s="30">
        <v>1.94</v>
      </c>
      <c r="B26" s="19">
        <v>1.94</v>
      </c>
      <c r="C26" s="19">
        <v>22</v>
      </c>
      <c r="D26" s="28">
        <v>3.52</v>
      </c>
      <c r="E26" s="19">
        <v>6.2</v>
      </c>
    </row>
    <row r="27" spans="1:5" x14ac:dyDescent="0.25">
      <c r="A27" s="30">
        <v>5.0999999999999996</v>
      </c>
      <c r="B27" s="19">
        <v>5.0999999999999996</v>
      </c>
      <c r="C27" s="19">
        <v>22.6</v>
      </c>
      <c r="D27" s="28">
        <v>3.29</v>
      </c>
      <c r="E27" s="19">
        <v>9.3000000000000007</v>
      </c>
    </row>
    <row r="28" spans="1:5" x14ac:dyDescent="0.25">
      <c r="A28" s="30">
        <v>5.44</v>
      </c>
      <c r="B28" s="19">
        <v>5.44</v>
      </c>
      <c r="C28" s="19">
        <v>23</v>
      </c>
      <c r="D28" s="28">
        <v>3.36</v>
      </c>
      <c r="E28" s="19">
        <v>9</v>
      </c>
    </row>
    <row r="29" spans="1:5" x14ac:dyDescent="0.25">
      <c r="A29" s="30">
        <v>5.74</v>
      </c>
      <c r="B29" s="19">
        <v>5.74</v>
      </c>
      <c r="C29" s="19">
        <v>23</v>
      </c>
      <c r="D29" s="28">
        <v>3.24</v>
      </c>
      <c r="E29" s="19">
        <v>8.4</v>
      </c>
    </row>
    <row r="30" spans="1:5" x14ac:dyDescent="0.25">
      <c r="A30" s="18" t="s">
        <v>125</v>
      </c>
      <c r="B30" s="19">
        <v>38.44</v>
      </c>
      <c r="C30" s="29">
        <v>22.833333333333332</v>
      </c>
      <c r="D30" s="28">
        <v>3.3416666666666663</v>
      </c>
      <c r="E30" s="29">
        <v>8.9166666666666661</v>
      </c>
    </row>
    <row r="31" spans="1:5" x14ac:dyDescent="0.25">
      <c r="A31" s="30">
        <v>4.0999999999999996</v>
      </c>
      <c r="B31" s="19">
        <v>4.0999999999999996</v>
      </c>
      <c r="C31" s="19">
        <v>24</v>
      </c>
      <c r="D31" s="28">
        <v>3.37</v>
      </c>
      <c r="E31" s="19">
        <v>9.5</v>
      </c>
    </row>
    <row r="32" spans="1:5" x14ac:dyDescent="0.25">
      <c r="A32" s="30">
        <v>6.26</v>
      </c>
      <c r="B32" s="19">
        <v>6.26</v>
      </c>
      <c r="C32" s="19">
        <v>22.2</v>
      </c>
      <c r="D32" s="28">
        <v>3.32</v>
      </c>
      <c r="E32" s="19">
        <v>7.05</v>
      </c>
    </row>
    <row r="33" spans="1:5" x14ac:dyDescent="0.25">
      <c r="A33" s="30">
        <v>6.36</v>
      </c>
      <c r="B33" s="19">
        <v>6.36</v>
      </c>
      <c r="C33" s="19">
        <v>22.4</v>
      </c>
      <c r="D33" s="28">
        <v>3.34</v>
      </c>
      <c r="E33" s="19">
        <v>9.07</v>
      </c>
    </row>
    <row r="34" spans="1:5" x14ac:dyDescent="0.25">
      <c r="A34" s="30">
        <v>6.48</v>
      </c>
      <c r="B34" s="19">
        <v>6.48</v>
      </c>
      <c r="C34" s="19">
        <v>23.4</v>
      </c>
      <c r="D34" s="28">
        <v>3.49</v>
      </c>
      <c r="E34" s="19">
        <v>6.5</v>
      </c>
    </row>
    <row r="35" spans="1:5" x14ac:dyDescent="0.25">
      <c r="A35" s="30">
        <v>7.4</v>
      </c>
      <c r="B35" s="19">
        <v>7.4</v>
      </c>
      <c r="C35" s="19">
        <v>22</v>
      </c>
      <c r="D35" s="28">
        <v>3.13</v>
      </c>
      <c r="E35" s="19">
        <v>13.4</v>
      </c>
    </row>
    <row r="36" spans="1:5" x14ac:dyDescent="0.25">
      <c r="A36" s="30">
        <v>7.84</v>
      </c>
      <c r="B36" s="19">
        <v>7.84</v>
      </c>
      <c r="C36" s="19">
        <v>23</v>
      </c>
      <c r="D36" s="28">
        <v>3.4</v>
      </c>
      <c r="E36" s="19">
        <v>7.98</v>
      </c>
    </row>
    <row r="37" spans="1:5" x14ac:dyDescent="0.25">
      <c r="A37" s="18" t="s">
        <v>119</v>
      </c>
      <c r="B37" s="19">
        <v>726.26400000000012</v>
      </c>
      <c r="C37" s="29">
        <v>22.809393939393939</v>
      </c>
      <c r="D37" s="28">
        <v>3.3956515151515152</v>
      </c>
      <c r="E37" s="29">
        <v>8.7324545454545461</v>
      </c>
    </row>
    <row r="38" spans="1:5" x14ac:dyDescent="0.25">
      <c r="A38" s="30">
        <v>2.09</v>
      </c>
      <c r="B38" s="19">
        <v>2.09</v>
      </c>
      <c r="C38" s="19"/>
      <c r="D38" s="28"/>
      <c r="E38" s="19"/>
    </row>
    <row r="39" spans="1:5" x14ac:dyDescent="0.25">
      <c r="A39" s="30">
        <v>4.0490000000000004</v>
      </c>
      <c r="B39" s="19">
        <v>4.0490000000000004</v>
      </c>
      <c r="C39" s="19"/>
      <c r="D39" s="28"/>
      <c r="E39" s="19"/>
    </row>
    <row r="40" spans="1:5" x14ac:dyDescent="0.25">
      <c r="A40" s="30">
        <v>10.199999999999999</v>
      </c>
      <c r="B40" s="19">
        <v>10.199999999999999</v>
      </c>
      <c r="C40" s="19">
        <v>25</v>
      </c>
      <c r="D40" s="28">
        <v>3.36</v>
      </c>
      <c r="E40" s="19">
        <v>10</v>
      </c>
    </row>
    <row r="41" spans="1:5" x14ac:dyDescent="0.25">
      <c r="A41" s="30">
        <v>12.5</v>
      </c>
      <c r="B41" s="19">
        <v>12.5</v>
      </c>
      <c r="C41" s="19">
        <v>25.8</v>
      </c>
      <c r="D41" s="28">
        <v>3.72</v>
      </c>
      <c r="E41" s="19">
        <v>5.4</v>
      </c>
    </row>
    <row r="42" spans="1:5" x14ac:dyDescent="0.25">
      <c r="A42" s="30">
        <v>13.71</v>
      </c>
      <c r="B42" s="19">
        <v>13.71</v>
      </c>
      <c r="C42" s="19">
        <v>23.2</v>
      </c>
      <c r="D42" s="28">
        <v>3.52</v>
      </c>
      <c r="E42" s="19">
        <v>8.1999999999999993</v>
      </c>
    </row>
    <row r="43" spans="1:5" x14ac:dyDescent="0.25">
      <c r="A43" s="30">
        <v>14.494999999999999</v>
      </c>
      <c r="B43" s="19">
        <v>14.494999999999999</v>
      </c>
      <c r="C43" s="19"/>
      <c r="D43" s="28"/>
      <c r="E43" s="19"/>
    </row>
    <row r="44" spans="1:5" x14ac:dyDescent="0.25">
      <c r="A44" s="30">
        <v>17.29</v>
      </c>
      <c r="B44" s="19">
        <v>17.29</v>
      </c>
      <c r="C44" s="19">
        <v>22.466666666666669</v>
      </c>
      <c r="D44" s="28">
        <v>3.4233333333333333</v>
      </c>
      <c r="E44" s="19">
        <v>8.4500000000000011</v>
      </c>
    </row>
    <row r="45" spans="1:5" x14ac:dyDescent="0.25">
      <c r="A45" s="30">
        <v>17.899999999999999</v>
      </c>
      <c r="B45" s="19">
        <v>17.899999999999999</v>
      </c>
      <c r="C45" s="19">
        <v>23.2</v>
      </c>
      <c r="D45" s="28">
        <v>3.23</v>
      </c>
      <c r="E45" s="19">
        <v>12.2</v>
      </c>
    </row>
    <row r="46" spans="1:5" x14ac:dyDescent="0.25">
      <c r="A46" s="30">
        <v>18.170000000000002</v>
      </c>
      <c r="B46" s="19">
        <v>18.170000000000002</v>
      </c>
      <c r="C46" s="19">
        <v>21.4</v>
      </c>
      <c r="D46" s="28">
        <v>3.46</v>
      </c>
      <c r="E46" s="19">
        <v>8.6</v>
      </c>
    </row>
    <row r="47" spans="1:5" x14ac:dyDescent="0.25">
      <c r="A47" s="30">
        <v>18.399999999999999</v>
      </c>
      <c r="B47" s="19">
        <v>18.399999999999999</v>
      </c>
      <c r="C47" s="19">
        <v>22.6</v>
      </c>
      <c r="D47" s="28">
        <v>3.19</v>
      </c>
      <c r="E47" s="19">
        <v>11.8</v>
      </c>
    </row>
    <row r="48" spans="1:5" x14ac:dyDescent="0.25">
      <c r="A48" s="30">
        <v>18.8</v>
      </c>
      <c r="B48" s="19">
        <v>18.8</v>
      </c>
      <c r="C48" s="19">
        <v>22.8</v>
      </c>
      <c r="D48" s="28">
        <v>3.24</v>
      </c>
      <c r="E48" s="19">
        <v>9</v>
      </c>
    </row>
    <row r="49" spans="1:5" x14ac:dyDescent="0.25">
      <c r="A49" s="30">
        <v>20.100000000000001</v>
      </c>
      <c r="B49" s="19">
        <v>20.100000000000001</v>
      </c>
      <c r="C49" s="19">
        <v>22.6</v>
      </c>
      <c r="D49" s="28">
        <v>3.26</v>
      </c>
      <c r="E49" s="19">
        <v>9.4</v>
      </c>
    </row>
    <row r="50" spans="1:5" x14ac:dyDescent="0.25">
      <c r="A50" s="30">
        <v>20.5</v>
      </c>
      <c r="B50" s="19">
        <v>20.5</v>
      </c>
      <c r="C50" s="19">
        <v>25</v>
      </c>
      <c r="D50" s="28">
        <v>3.69</v>
      </c>
      <c r="E50" s="19">
        <v>6.1</v>
      </c>
    </row>
    <row r="51" spans="1:5" x14ac:dyDescent="0.25">
      <c r="A51" s="30">
        <v>22.2</v>
      </c>
      <c r="B51" s="19">
        <v>22.2</v>
      </c>
      <c r="C51" s="19">
        <v>23.2</v>
      </c>
      <c r="D51" s="28">
        <v>3.5</v>
      </c>
      <c r="E51" s="19">
        <v>6.7</v>
      </c>
    </row>
    <row r="52" spans="1:5" x14ac:dyDescent="0.25">
      <c r="A52" s="30">
        <v>22.7</v>
      </c>
      <c r="B52" s="19">
        <v>22.7</v>
      </c>
      <c r="C52" s="19">
        <v>19.2</v>
      </c>
      <c r="D52" s="28">
        <v>3.42</v>
      </c>
      <c r="E52" s="19">
        <v>9.68</v>
      </c>
    </row>
    <row r="53" spans="1:5" x14ac:dyDescent="0.25">
      <c r="A53" s="30">
        <v>24</v>
      </c>
      <c r="B53" s="19">
        <v>24</v>
      </c>
      <c r="C53" s="19">
        <v>22.2</v>
      </c>
      <c r="D53" s="28">
        <v>3.36</v>
      </c>
      <c r="E53" s="19">
        <v>11</v>
      </c>
    </row>
    <row r="54" spans="1:5" x14ac:dyDescent="0.25">
      <c r="A54" s="30">
        <v>26</v>
      </c>
      <c r="B54" s="19">
        <v>26</v>
      </c>
      <c r="C54" s="19">
        <v>23.4</v>
      </c>
      <c r="D54" s="28">
        <v>3.51</v>
      </c>
      <c r="E54" s="19">
        <v>7.8</v>
      </c>
    </row>
    <row r="55" spans="1:5" x14ac:dyDescent="0.25">
      <c r="A55" s="30">
        <v>29.23</v>
      </c>
      <c r="B55" s="19">
        <v>29.23</v>
      </c>
      <c r="C55" s="19">
        <v>21.6</v>
      </c>
      <c r="D55" s="28">
        <v>3.415</v>
      </c>
      <c r="E55" s="19">
        <v>9.6999999999999993</v>
      </c>
    </row>
    <row r="56" spans="1:5" x14ac:dyDescent="0.25">
      <c r="A56" s="30">
        <v>36.6</v>
      </c>
      <c r="B56" s="19">
        <v>36.6</v>
      </c>
      <c r="C56" s="19">
        <v>21.2</v>
      </c>
      <c r="D56" s="28">
        <v>3.24</v>
      </c>
      <c r="E56" s="19">
        <v>9.1999999999999993</v>
      </c>
    </row>
    <row r="57" spans="1:5" x14ac:dyDescent="0.25">
      <c r="A57" s="30">
        <v>47.5</v>
      </c>
      <c r="B57" s="19">
        <v>47.5</v>
      </c>
      <c r="C57" s="19">
        <v>23.4</v>
      </c>
      <c r="D57" s="28">
        <v>3.21</v>
      </c>
      <c r="E57" s="19">
        <v>8.3000000000000007</v>
      </c>
    </row>
    <row r="58" spans="1:5" x14ac:dyDescent="0.25">
      <c r="A58" s="30">
        <v>51</v>
      </c>
      <c r="B58" s="19">
        <v>51</v>
      </c>
      <c r="C58" s="19">
        <v>24.6</v>
      </c>
      <c r="D58" s="28">
        <v>3.57</v>
      </c>
      <c r="E58" s="19">
        <v>6.3</v>
      </c>
    </row>
    <row r="59" spans="1:5" x14ac:dyDescent="0.25">
      <c r="A59" s="30">
        <v>54.7</v>
      </c>
      <c r="B59" s="19">
        <v>54.7</v>
      </c>
      <c r="C59" s="19">
        <v>23.6</v>
      </c>
      <c r="D59" s="28">
        <v>3.2</v>
      </c>
      <c r="E59" s="19">
        <v>7.7</v>
      </c>
    </row>
    <row r="60" spans="1:5" x14ac:dyDescent="0.25">
      <c r="A60" s="30">
        <v>63.69</v>
      </c>
      <c r="B60" s="19">
        <v>63.69</v>
      </c>
      <c r="C60" s="19">
        <v>21.4</v>
      </c>
      <c r="D60" s="28">
        <v>3.25</v>
      </c>
      <c r="E60" s="19">
        <v>8.6</v>
      </c>
    </row>
    <row r="61" spans="1:5" x14ac:dyDescent="0.25">
      <c r="A61" s="30">
        <v>63.84</v>
      </c>
      <c r="B61" s="19">
        <v>63.84</v>
      </c>
      <c r="C61" s="19">
        <v>22.839999999999996</v>
      </c>
      <c r="D61" s="28">
        <v>3.3759999999999999</v>
      </c>
      <c r="E61" s="19">
        <v>8.9039999999999999</v>
      </c>
    </row>
    <row r="62" spans="1:5" x14ac:dyDescent="0.25">
      <c r="A62" s="30">
        <v>96.6</v>
      </c>
      <c r="B62" s="19">
        <v>96.6</v>
      </c>
      <c r="C62" s="19">
        <v>21.1</v>
      </c>
      <c r="D62" s="28">
        <v>3.56</v>
      </c>
      <c r="E62" s="19">
        <v>9.08</v>
      </c>
    </row>
    <row r="63" spans="1:5" x14ac:dyDescent="0.25">
      <c r="A63" s="30" t="s">
        <v>169</v>
      </c>
      <c r="B63" s="19"/>
      <c r="C63" s="19"/>
      <c r="D63" s="28"/>
      <c r="E63" s="19"/>
    </row>
    <row r="64" spans="1:5" x14ac:dyDescent="0.25">
      <c r="A64" s="18" t="s">
        <v>129</v>
      </c>
      <c r="B64" s="19">
        <v>100.33</v>
      </c>
      <c r="C64" s="29">
        <v>22.288888888888888</v>
      </c>
      <c r="D64" s="28">
        <v>3.2066666666666666</v>
      </c>
      <c r="E64" s="29">
        <v>10.07</v>
      </c>
    </row>
    <row r="65" spans="1:5" x14ac:dyDescent="0.25">
      <c r="A65" s="30">
        <v>29.9</v>
      </c>
      <c r="B65" s="19">
        <v>29.9</v>
      </c>
      <c r="C65" s="19">
        <v>21.8</v>
      </c>
      <c r="D65" s="28">
        <v>3.1</v>
      </c>
      <c r="E65" s="19">
        <v>10.199999999999999</v>
      </c>
    </row>
    <row r="66" spans="1:5" x14ac:dyDescent="0.25">
      <c r="A66" s="30">
        <v>30.08</v>
      </c>
      <c r="B66" s="19">
        <v>30.08</v>
      </c>
      <c r="C66" s="19">
        <v>24</v>
      </c>
      <c r="D66" s="28">
        <v>3.4</v>
      </c>
      <c r="E66" s="19">
        <v>10.6</v>
      </c>
    </row>
    <row r="67" spans="1:5" x14ac:dyDescent="0.25">
      <c r="A67" s="30">
        <v>40.35</v>
      </c>
      <c r="B67" s="19">
        <v>40.35</v>
      </c>
      <c r="C67" s="19">
        <v>21.066666666666666</v>
      </c>
      <c r="D67" s="28">
        <v>3.1199999999999997</v>
      </c>
      <c r="E67" s="19">
        <v>9.4100000000000019</v>
      </c>
    </row>
    <row r="68" spans="1:5" x14ac:dyDescent="0.25">
      <c r="A68" s="18" t="s">
        <v>126</v>
      </c>
      <c r="B68" s="29">
        <v>4.2</v>
      </c>
      <c r="C68" s="29">
        <v>21.8</v>
      </c>
      <c r="D68" s="28">
        <v>3.25</v>
      </c>
      <c r="E68" s="29">
        <v>7.7</v>
      </c>
    </row>
    <row r="69" spans="1:5" x14ac:dyDescent="0.25">
      <c r="A69" s="30">
        <v>4.2</v>
      </c>
      <c r="B69" s="19">
        <v>4.2</v>
      </c>
      <c r="C69" s="19">
        <v>21.8</v>
      </c>
      <c r="D69" s="28">
        <v>3.25</v>
      </c>
      <c r="E69" s="19">
        <v>7.7</v>
      </c>
    </row>
    <row r="70" spans="1:5" x14ac:dyDescent="0.25">
      <c r="A70" s="18" t="s">
        <v>121</v>
      </c>
      <c r="B70" s="19">
        <v>133.48000000000002</v>
      </c>
      <c r="C70" s="29">
        <v>22.96</v>
      </c>
      <c r="D70" s="28">
        <v>3.4350000000000001</v>
      </c>
      <c r="E70" s="29">
        <v>7.0575000000000001</v>
      </c>
    </row>
    <row r="71" spans="1:5" x14ac:dyDescent="0.25">
      <c r="A71" s="30">
        <v>6.76</v>
      </c>
      <c r="B71" s="19">
        <v>6.76</v>
      </c>
      <c r="C71" s="19">
        <v>22</v>
      </c>
      <c r="D71" s="28">
        <v>3.32</v>
      </c>
      <c r="E71" s="19">
        <v>7.7</v>
      </c>
    </row>
    <row r="72" spans="1:5" x14ac:dyDescent="0.25">
      <c r="A72" s="30">
        <v>9.6</v>
      </c>
      <c r="B72" s="19">
        <v>9.6</v>
      </c>
      <c r="C72" s="19">
        <v>24</v>
      </c>
      <c r="D72" s="28">
        <v>3.01</v>
      </c>
      <c r="E72" s="19">
        <v>9.4</v>
      </c>
    </row>
    <row r="73" spans="1:5" x14ac:dyDescent="0.25">
      <c r="A73" s="30">
        <v>10.92</v>
      </c>
      <c r="B73" s="19">
        <v>10.92</v>
      </c>
      <c r="C73" s="19">
        <v>22.2</v>
      </c>
      <c r="D73" s="28">
        <v>3.5999999999999996</v>
      </c>
      <c r="E73" s="19">
        <v>7.9450000000000003</v>
      </c>
    </row>
    <row r="74" spans="1:5" x14ac:dyDescent="0.25">
      <c r="A74" s="30">
        <v>11.1</v>
      </c>
      <c r="B74" s="19">
        <v>11.1</v>
      </c>
      <c r="C74" s="19">
        <v>23.8</v>
      </c>
      <c r="D74" s="28">
        <v>3.62</v>
      </c>
      <c r="E74" s="19">
        <v>6.1</v>
      </c>
    </row>
    <row r="75" spans="1:5" x14ac:dyDescent="0.25">
      <c r="A75" s="30">
        <v>11.6</v>
      </c>
      <c r="B75" s="19">
        <v>11.6</v>
      </c>
      <c r="C75" s="19">
        <v>23.8</v>
      </c>
      <c r="D75" s="28">
        <v>3.38</v>
      </c>
      <c r="E75" s="19">
        <v>8</v>
      </c>
    </row>
    <row r="76" spans="1:5" x14ac:dyDescent="0.25">
      <c r="A76" s="30">
        <v>13.5</v>
      </c>
      <c r="B76" s="19">
        <v>13.5</v>
      </c>
      <c r="C76" s="19">
        <v>23.8</v>
      </c>
      <c r="D76" s="28">
        <v>3.52</v>
      </c>
      <c r="E76" s="19">
        <v>7.1</v>
      </c>
    </row>
    <row r="77" spans="1:5" x14ac:dyDescent="0.25">
      <c r="A77" s="30">
        <v>15.8</v>
      </c>
      <c r="B77" s="19">
        <v>15.8</v>
      </c>
      <c r="C77" s="19">
        <v>22.6</v>
      </c>
      <c r="D77" s="28">
        <v>3.51</v>
      </c>
      <c r="E77" s="19">
        <v>8.6</v>
      </c>
    </row>
    <row r="78" spans="1:5" x14ac:dyDescent="0.25">
      <c r="A78" s="30">
        <v>16.2</v>
      </c>
      <c r="B78" s="19">
        <v>16.2</v>
      </c>
      <c r="C78" s="19">
        <v>23</v>
      </c>
      <c r="D78" s="28">
        <v>3.51</v>
      </c>
      <c r="E78" s="19">
        <v>5.2</v>
      </c>
    </row>
    <row r="79" spans="1:5" x14ac:dyDescent="0.25">
      <c r="A79" s="30">
        <v>17</v>
      </c>
      <c r="B79" s="19">
        <v>17</v>
      </c>
      <c r="C79" s="19">
        <v>21.8</v>
      </c>
      <c r="D79" s="28">
        <v>3.39</v>
      </c>
      <c r="E79" s="19">
        <v>3.33</v>
      </c>
    </row>
    <row r="80" spans="1:5" x14ac:dyDescent="0.25">
      <c r="A80" s="30">
        <v>21</v>
      </c>
      <c r="B80" s="19">
        <v>21</v>
      </c>
      <c r="C80" s="19">
        <v>22.6</v>
      </c>
      <c r="D80" s="28">
        <v>3.49</v>
      </c>
      <c r="E80" s="19">
        <v>7.2</v>
      </c>
    </row>
    <row r="81" spans="1:5" x14ac:dyDescent="0.25">
      <c r="A81" s="18" t="s">
        <v>97</v>
      </c>
      <c r="B81" s="19">
        <v>674.97699999999986</v>
      </c>
      <c r="C81" s="29">
        <v>22.535479452054798</v>
      </c>
      <c r="D81" s="28">
        <v>3.4523698630136992</v>
      </c>
      <c r="E81" s="29">
        <v>8.8266301369862976</v>
      </c>
    </row>
    <row r="82" spans="1:5" x14ac:dyDescent="0.25">
      <c r="A82" s="30">
        <v>0.18</v>
      </c>
      <c r="B82" s="19">
        <v>0.18</v>
      </c>
      <c r="C82" s="19">
        <v>28</v>
      </c>
      <c r="D82" s="28">
        <v>3.78</v>
      </c>
      <c r="E82" s="19">
        <v>7.5</v>
      </c>
    </row>
    <row r="83" spans="1:5" x14ac:dyDescent="0.25">
      <c r="A83" s="30">
        <v>0.2</v>
      </c>
      <c r="B83" s="19">
        <v>0.2</v>
      </c>
      <c r="C83" s="19">
        <v>30</v>
      </c>
      <c r="D83" s="28">
        <v>4.0199999999999996</v>
      </c>
      <c r="E83" s="19">
        <v>7.5</v>
      </c>
    </row>
    <row r="84" spans="1:5" x14ac:dyDescent="0.25">
      <c r="A84" s="30">
        <v>0.3</v>
      </c>
      <c r="B84" s="19">
        <v>0.3</v>
      </c>
      <c r="C84" s="19"/>
      <c r="D84" s="28"/>
      <c r="E84" s="19"/>
    </row>
    <row r="85" spans="1:5" x14ac:dyDescent="0.25">
      <c r="A85" s="30">
        <v>0.35</v>
      </c>
      <c r="B85" s="19">
        <v>0.35</v>
      </c>
      <c r="C85" s="19">
        <v>24.2</v>
      </c>
      <c r="D85" s="28">
        <v>3.4</v>
      </c>
      <c r="E85" s="19">
        <v>6.8</v>
      </c>
    </row>
    <row r="86" spans="1:5" x14ac:dyDescent="0.25">
      <c r="A86" s="30">
        <v>0.4</v>
      </c>
      <c r="B86" s="19">
        <v>0.4</v>
      </c>
      <c r="C86" s="19">
        <v>24</v>
      </c>
      <c r="D86" s="28">
        <v>3.39</v>
      </c>
      <c r="E86" s="19">
        <v>6</v>
      </c>
    </row>
    <row r="87" spans="1:5" x14ac:dyDescent="0.25">
      <c r="A87" s="30">
        <v>0.5</v>
      </c>
      <c r="B87" s="19">
        <v>0.5</v>
      </c>
      <c r="C87" s="19">
        <v>24</v>
      </c>
      <c r="D87" s="28">
        <v>3.61</v>
      </c>
      <c r="E87" s="19">
        <v>12.4</v>
      </c>
    </row>
    <row r="88" spans="1:5" x14ac:dyDescent="0.25">
      <c r="A88" s="30">
        <v>0.6</v>
      </c>
      <c r="B88" s="19">
        <v>0.6</v>
      </c>
      <c r="C88" s="19">
        <v>24</v>
      </c>
      <c r="D88" s="28">
        <v>3.8</v>
      </c>
      <c r="E88" s="19">
        <v>6.4</v>
      </c>
    </row>
    <row r="89" spans="1:5" x14ac:dyDescent="0.25">
      <c r="A89" s="30">
        <v>0.66</v>
      </c>
      <c r="B89" s="19">
        <v>0.66</v>
      </c>
      <c r="C89" s="19"/>
      <c r="D89" s="28"/>
      <c r="E89" s="19"/>
    </row>
    <row r="90" spans="1:5" x14ac:dyDescent="0.25">
      <c r="A90" s="30">
        <v>0.9</v>
      </c>
      <c r="B90" s="19">
        <v>0.9</v>
      </c>
      <c r="C90" s="19">
        <v>23.4</v>
      </c>
      <c r="D90" s="28">
        <v>3.21</v>
      </c>
      <c r="E90" s="19">
        <v>11</v>
      </c>
    </row>
    <row r="91" spans="1:5" x14ac:dyDescent="0.25">
      <c r="A91" s="30">
        <v>1.1000000000000001</v>
      </c>
      <c r="B91" s="19">
        <v>1.1000000000000001</v>
      </c>
      <c r="C91" s="19">
        <v>22.2</v>
      </c>
      <c r="D91" s="28">
        <v>3.08</v>
      </c>
      <c r="E91" s="19">
        <v>12.5</v>
      </c>
    </row>
    <row r="92" spans="1:5" x14ac:dyDescent="0.25">
      <c r="A92" s="30">
        <v>1.1200000000000001</v>
      </c>
      <c r="B92" s="19">
        <v>1.1200000000000001</v>
      </c>
      <c r="C92" s="19">
        <v>20</v>
      </c>
      <c r="D92" s="28">
        <v>3.37</v>
      </c>
      <c r="E92" s="19">
        <v>9.9</v>
      </c>
    </row>
    <row r="93" spans="1:5" x14ac:dyDescent="0.25">
      <c r="A93" s="30">
        <v>1.19</v>
      </c>
      <c r="B93" s="19">
        <v>1.19</v>
      </c>
      <c r="C93" s="19">
        <v>23.2</v>
      </c>
      <c r="D93" s="28">
        <v>3.48</v>
      </c>
      <c r="E93" s="19">
        <v>6.6</v>
      </c>
    </row>
    <row r="94" spans="1:5" x14ac:dyDescent="0.25">
      <c r="A94" s="30">
        <v>1.5</v>
      </c>
      <c r="B94" s="19">
        <v>6</v>
      </c>
      <c r="C94" s="19">
        <v>23</v>
      </c>
      <c r="D94" s="28">
        <v>3.75</v>
      </c>
      <c r="E94" s="19">
        <v>5.5</v>
      </c>
    </row>
    <row r="95" spans="1:5" x14ac:dyDescent="0.25">
      <c r="A95" s="30">
        <v>1.6</v>
      </c>
      <c r="B95" s="19">
        <v>1.6</v>
      </c>
      <c r="C95" s="19"/>
      <c r="D95" s="28"/>
      <c r="E95" s="19"/>
    </row>
    <row r="96" spans="1:5" x14ac:dyDescent="0.25">
      <c r="A96" s="30">
        <v>1.7</v>
      </c>
      <c r="B96" s="19">
        <v>1.7</v>
      </c>
      <c r="C96" s="19">
        <v>22.4</v>
      </c>
      <c r="D96" s="28">
        <v>3.28</v>
      </c>
      <c r="E96" s="19">
        <v>9</v>
      </c>
    </row>
    <row r="97" spans="1:5" x14ac:dyDescent="0.25">
      <c r="A97" s="30">
        <v>1.8</v>
      </c>
      <c r="B97" s="19">
        <v>1.8</v>
      </c>
      <c r="C97" s="19">
        <v>23</v>
      </c>
      <c r="D97" s="28">
        <v>3.11</v>
      </c>
      <c r="E97" s="19">
        <v>10.5</v>
      </c>
    </row>
    <row r="98" spans="1:5" x14ac:dyDescent="0.25">
      <c r="A98" s="30">
        <v>1.9</v>
      </c>
      <c r="B98" s="19">
        <v>1.9</v>
      </c>
      <c r="C98" s="19">
        <v>23</v>
      </c>
      <c r="D98" s="28">
        <v>3.11</v>
      </c>
      <c r="E98" s="19">
        <v>10.5</v>
      </c>
    </row>
    <row r="99" spans="1:5" x14ac:dyDescent="0.25">
      <c r="A99" s="30">
        <v>1.91</v>
      </c>
      <c r="B99" s="19">
        <v>1.91</v>
      </c>
      <c r="C99" s="19">
        <v>23.4</v>
      </c>
      <c r="D99" s="28">
        <v>3.62</v>
      </c>
      <c r="E99" s="19">
        <v>7.7</v>
      </c>
    </row>
    <row r="100" spans="1:5" x14ac:dyDescent="0.25">
      <c r="A100" s="30">
        <v>1.96</v>
      </c>
      <c r="B100" s="19">
        <v>1.96</v>
      </c>
      <c r="C100" s="19">
        <v>19</v>
      </c>
      <c r="D100" s="28">
        <v>2.94</v>
      </c>
      <c r="E100" s="19">
        <v>8.85</v>
      </c>
    </row>
    <row r="101" spans="1:5" x14ac:dyDescent="0.25">
      <c r="A101" s="30">
        <v>2</v>
      </c>
      <c r="B101" s="19">
        <v>2</v>
      </c>
      <c r="C101" s="19">
        <v>21</v>
      </c>
      <c r="D101" s="28">
        <v>3.65</v>
      </c>
      <c r="E101" s="19">
        <v>6.45</v>
      </c>
    </row>
    <row r="102" spans="1:5" x14ac:dyDescent="0.25">
      <c r="A102" s="30">
        <v>2.1</v>
      </c>
      <c r="B102" s="19">
        <v>2.1</v>
      </c>
      <c r="C102" s="19">
        <v>24</v>
      </c>
      <c r="D102" s="28">
        <v>3.8</v>
      </c>
      <c r="E102" s="19">
        <v>6.4</v>
      </c>
    </row>
    <row r="103" spans="1:5" x14ac:dyDescent="0.25">
      <c r="A103" s="30">
        <v>2.7</v>
      </c>
      <c r="B103" s="19">
        <v>2.7</v>
      </c>
      <c r="C103" s="19">
        <v>22.2</v>
      </c>
      <c r="D103" s="28">
        <v>3.08</v>
      </c>
      <c r="E103" s="19">
        <v>12.5</v>
      </c>
    </row>
    <row r="104" spans="1:5" x14ac:dyDescent="0.25">
      <c r="A104" s="30">
        <v>2.9</v>
      </c>
      <c r="B104" s="19">
        <v>2.9</v>
      </c>
      <c r="C104" s="19">
        <v>26.2</v>
      </c>
      <c r="D104" s="28">
        <v>3.86</v>
      </c>
      <c r="E104" s="19">
        <v>7.7</v>
      </c>
    </row>
    <row r="105" spans="1:5" x14ac:dyDescent="0.25">
      <c r="A105" s="30">
        <v>3</v>
      </c>
      <c r="B105" s="19">
        <v>6</v>
      </c>
      <c r="C105" s="19">
        <v>23.1</v>
      </c>
      <c r="D105" s="28">
        <v>3.1950000000000003</v>
      </c>
      <c r="E105" s="19">
        <v>10.5</v>
      </c>
    </row>
    <row r="106" spans="1:5" x14ac:dyDescent="0.25">
      <c r="A106" s="30">
        <v>3.1</v>
      </c>
      <c r="B106" s="19">
        <v>3.1</v>
      </c>
      <c r="C106" s="19">
        <v>23</v>
      </c>
      <c r="D106" s="28">
        <v>3.11</v>
      </c>
      <c r="E106" s="19">
        <v>10.5</v>
      </c>
    </row>
    <row r="107" spans="1:5" x14ac:dyDescent="0.25">
      <c r="A107" s="30">
        <v>3.17</v>
      </c>
      <c r="B107" s="19">
        <v>3.17</v>
      </c>
      <c r="C107" s="19">
        <v>24.2</v>
      </c>
      <c r="D107" s="28">
        <v>3.37</v>
      </c>
      <c r="E107" s="19">
        <v>6.6</v>
      </c>
    </row>
    <row r="108" spans="1:5" x14ac:dyDescent="0.25">
      <c r="A108" s="30">
        <v>3.25</v>
      </c>
      <c r="B108" s="19">
        <v>3.25</v>
      </c>
      <c r="C108" s="19">
        <v>22</v>
      </c>
      <c r="D108" s="28">
        <v>3.64</v>
      </c>
      <c r="E108" s="19">
        <v>7.5</v>
      </c>
    </row>
    <row r="109" spans="1:5" x14ac:dyDescent="0.25">
      <c r="A109" s="30">
        <v>3.28</v>
      </c>
      <c r="B109" s="19">
        <v>3.28</v>
      </c>
      <c r="C109" s="19">
        <v>22.7</v>
      </c>
      <c r="D109" s="28">
        <v>3.3</v>
      </c>
      <c r="E109" s="19">
        <v>6.35</v>
      </c>
    </row>
    <row r="110" spans="1:5" x14ac:dyDescent="0.25">
      <c r="A110" s="30">
        <v>3.3</v>
      </c>
      <c r="B110" s="19">
        <v>3.3</v>
      </c>
      <c r="C110" s="19">
        <v>25.4</v>
      </c>
      <c r="D110" s="28">
        <v>3.22</v>
      </c>
      <c r="E110" s="19">
        <v>11.4</v>
      </c>
    </row>
    <row r="111" spans="1:5" x14ac:dyDescent="0.25">
      <c r="A111" s="30">
        <v>3.36</v>
      </c>
      <c r="B111" s="19">
        <v>10.08</v>
      </c>
      <c r="C111" s="19">
        <v>24.4</v>
      </c>
      <c r="D111" s="28">
        <v>3.19</v>
      </c>
      <c r="E111" s="19">
        <v>10.199999999999999</v>
      </c>
    </row>
    <row r="112" spans="1:5" x14ac:dyDescent="0.25">
      <c r="A112" s="30">
        <v>3.53</v>
      </c>
      <c r="B112" s="19">
        <v>3.53</v>
      </c>
      <c r="C112" s="19">
        <v>24</v>
      </c>
      <c r="D112" s="28">
        <v>3.36</v>
      </c>
      <c r="E112" s="19">
        <v>7.2</v>
      </c>
    </row>
    <row r="113" spans="1:5" x14ac:dyDescent="0.25">
      <c r="A113" s="30">
        <v>3.7</v>
      </c>
      <c r="B113" s="19">
        <v>3.7</v>
      </c>
      <c r="C113" s="19">
        <v>24</v>
      </c>
      <c r="D113" s="28">
        <v>3.8</v>
      </c>
      <c r="E113" s="19">
        <v>6.4</v>
      </c>
    </row>
    <row r="114" spans="1:5" x14ac:dyDescent="0.25">
      <c r="A114" s="30">
        <v>4.0999999999999996</v>
      </c>
      <c r="B114" s="19">
        <v>4.0999999999999996</v>
      </c>
      <c r="C114" s="19"/>
      <c r="D114" s="28"/>
      <c r="E114" s="19"/>
    </row>
    <row r="115" spans="1:5" x14ac:dyDescent="0.25">
      <c r="A115" s="30">
        <v>4.18</v>
      </c>
      <c r="B115" s="19">
        <v>4.18</v>
      </c>
      <c r="C115" s="19">
        <v>20</v>
      </c>
      <c r="D115" s="28">
        <v>3.37</v>
      </c>
      <c r="E115" s="19">
        <v>9.9</v>
      </c>
    </row>
    <row r="116" spans="1:5" x14ac:dyDescent="0.25">
      <c r="A116" s="30">
        <v>4.24</v>
      </c>
      <c r="B116" s="19">
        <v>4.24</v>
      </c>
      <c r="C116" s="19">
        <v>24.2</v>
      </c>
      <c r="D116" s="28">
        <v>3.37</v>
      </c>
      <c r="E116" s="19">
        <v>6.6</v>
      </c>
    </row>
    <row r="117" spans="1:5" x14ac:dyDescent="0.25">
      <c r="A117" s="30">
        <v>4.5999999999999996</v>
      </c>
      <c r="B117" s="19">
        <v>4.5999999999999996</v>
      </c>
      <c r="C117" s="19">
        <v>22.2</v>
      </c>
      <c r="D117" s="28">
        <v>3.08</v>
      </c>
      <c r="E117" s="19">
        <v>12.5</v>
      </c>
    </row>
    <row r="118" spans="1:5" x14ac:dyDescent="0.25">
      <c r="A118" s="30">
        <v>4.6500000000000004</v>
      </c>
      <c r="B118" s="19">
        <v>4.6500000000000004</v>
      </c>
      <c r="C118" s="19">
        <v>23.4</v>
      </c>
      <c r="D118" s="28">
        <v>3.62</v>
      </c>
      <c r="E118" s="19">
        <v>7.7</v>
      </c>
    </row>
    <row r="119" spans="1:5" x14ac:dyDescent="0.25">
      <c r="A119" s="30">
        <v>5.01</v>
      </c>
      <c r="B119" s="19">
        <v>5.01</v>
      </c>
      <c r="C119" s="19">
        <v>23.2</v>
      </c>
      <c r="D119" s="28">
        <v>3.48</v>
      </c>
      <c r="E119" s="19">
        <v>6.6</v>
      </c>
    </row>
    <row r="120" spans="1:5" x14ac:dyDescent="0.25">
      <c r="A120" s="30">
        <v>5.04</v>
      </c>
      <c r="B120" s="19">
        <v>5.04</v>
      </c>
      <c r="C120" s="19">
        <v>20</v>
      </c>
      <c r="D120" s="28">
        <v>3.37</v>
      </c>
      <c r="E120" s="19">
        <v>9.9</v>
      </c>
    </row>
    <row r="121" spans="1:5" x14ac:dyDescent="0.25">
      <c r="A121" s="30">
        <v>5.2</v>
      </c>
      <c r="B121" s="19">
        <v>5.2</v>
      </c>
      <c r="C121" s="19">
        <v>22.2</v>
      </c>
      <c r="D121" s="28">
        <v>3.08</v>
      </c>
      <c r="E121" s="19">
        <v>12.5</v>
      </c>
    </row>
    <row r="122" spans="1:5" x14ac:dyDescent="0.25">
      <c r="A122" s="30">
        <v>5.4</v>
      </c>
      <c r="B122" s="19">
        <v>5.4</v>
      </c>
      <c r="C122" s="19"/>
      <c r="D122" s="28"/>
      <c r="E122" s="19"/>
    </row>
    <row r="123" spans="1:5" x14ac:dyDescent="0.25">
      <c r="A123" s="30">
        <v>5.6</v>
      </c>
      <c r="B123" s="19">
        <v>5.6</v>
      </c>
      <c r="C123" s="19">
        <v>22.8</v>
      </c>
      <c r="D123" s="28">
        <v>3.12</v>
      </c>
      <c r="E123" s="19">
        <v>11</v>
      </c>
    </row>
    <row r="124" spans="1:5" x14ac:dyDescent="0.25">
      <c r="A124" s="30">
        <v>5.66</v>
      </c>
      <c r="B124" s="19">
        <v>5.66</v>
      </c>
      <c r="C124" s="19">
        <v>24.2</v>
      </c>
      <c r="D124" s="28">
        <v>3.4</v>
      </c>
      <c r="E124" s="19">
        <v>6.8</v>
      </c>
    </row>
    <row r="125" spans="1:5" x14ac:dyDescent="0.25">
      <c r="A125" s="30">
        <v>5.68</v>
      </c>
      <c r="B125" s="19">
        <v>5.68</v>
      </c>
      <c r="C125" s="19"/>
      <c r="D125" s="28"/>
      <c r="E125" s="19"/>
    </row>
    <row r="126" spans="1:5" x14ac:dyDescent="0.25">
      <c r="A126" s="30">
        <v>6</v>
      </c>
      <c r="B126" s="19">
        <v>6</v>
      </c>
      <c r="C126" s="19">
        <v>25.8</v>
      </c>
      <c r="D126" s="28">
        <v>3.26</v>
      </c>
      <c r="E126" s="19">
        <v>9</v>
      </c>
    </row>
    <row r="127" spans="1:5" x14ac:dyDescent="0.25">
      <c r="A127" s="30">
        <v>6.3</v>
      </c>
      <c r="B127" s="19">
        <v>6.3</v>
      </c>
      <c r="C127" s="19"/>
      <c r="D127" s="28"/>
      <c r="E127" s="19"/>
    </row>
    <row r="128" spans="1:5" x14ac:dyDescent="0.25">
      <c r="A128" s="30">
        <v>7</v>
      </c>
      <c r="B128" s="19">
        <v>7</v>
      </c>
      <c r="C128" s="19">
        <v>23.6</v>
      </c>
      <c r="D128" s="28">
        <v>3.33</v>
      </c>
      <c r="E128" s="19">
        <v>9.8000000000000007</v>
      </c>
    </row>
    <row r="129" spans="1:5" x14ac:dyDescent="0.25">
      <c r="A129" s="30">
        <v>7.29</v>
      </c>
      <c r="B129" s="19">
        <v>7.29</v>
      </c>
      <c r="C129" s="19">
        <v>19.8</v>
      </c>
      <c r="D129" s="28">
        <v>3.4</v>
      </c>
      <c r="E129" s="19">
        <v>10.4</v>
      </c>
    </row>
    <row r="130" spans="1:5" x14ac:dyDescent="0.25">
      <c r="A130" s="30">
        <v>7.83</v>
      </c>
      <c r="B130" s="19">
        <v>7.83</v>
      </c>
      <c r="C130" s="19">
        <v>20.6</v>
      </c>
      <c r="D130" s="28">
        <v>9.56</v>
      </c>
      <c r="E130" s="19">
        <v>3.28</v>
      </c>
    </row>
    <row r="131" spans="1:5" x14ac:dyDescent="0.25">
      <c r="A131" s="30">
        <v>7.91</v>
      </c>
      <c r="B131" s="19">
        <v>7.91</v>
      </c>
      <c r="C131" s="19">
        <v>24.2</v>
      </c>
      <c r="D131" s="28">
        <v>3.51</v>
      </c>
      <c r="E131" s="19">
        <v>9</v>
      </c>
    </row>
    <row r="132" spans="1:5" x14ac:dyDescent="0.25">
      <c r="A132" s="30">
        <v>8.1</v>
      </c>
      <c r="B132" s="19">
        <v>8.1</v>
      </c>
      <c r="C132" s="19">
        <v>24.2</v>
      </c>
      <c r="D132" s="28">
        <v>3.42</v>
      </c>
      <c r="E132" s="19">
        <v>8</v>
      </c>
    </row>
    <row r="133" spans="1:5" x14ac:dyDescent="0.25">
      <c r="A133" s="30">
        <v>8.1199999999999992</v>
      </c>
      <c r="B133" s="19">
        <v>8.1199999999999992</v>
      </c>
      <c r="C133" s="19">
        <v>19.600000000000001</v>
      </c>
      <c r="D133" s="28">
        <v>3.38</v>
      </c>
      <c r="E133" s="19">
        <v>10</v>
      </c>
    </row>
    <row r="134" spans="1:5" x14ac:dyDescent="0.25">
      <c r="A134" s="30">
        <v>8.4</v>
      </c>
      <c r="B134" s="19">
        <v>8.4</v>
      </c>
      <c r="C134" s="19"/>
      <c r="D134" s="28"/>
      <c r="E134" s="19"/>
    </row>
    <row r="135" spans="1:5" x14ac:dyDescent="0.25">
      <c r="A135" s="30">
        <v>8.48</v>
      </c>
      <c r="B135" s="19">
        <v>8.48</v>
      </c>
      <c r="C135" s="19">
        <v>20.6</v>
      </c>
      <c r="D135" s="28">
        <v>2.99</v>
      </c>
      <c r="E135" s="19">
        <v>9.41</v>
      </c>
    </row>
    <row r="136" spans="1:5" x14ac:dyDescent="0.25">
      <c r="A136" s="30">
        <v>8.49</v>
      </c>
      <c r="B136" s="19">
        <v>8.49</v>
      </c>
      <c r="C136" s="19">
        <v>22.4</v>
      </c>
      <c r="D136" s="28">
        <v>3.03</v>
      </c>
      <c r="E136" s="19">
        <v>12.6</v>
      </c>
    </row>
    <row r="137" spans="1:5" x14ac:dyDescent="0.25">
      <c r="A137" s="30">
        <v>8.6</v>
      </c>
      <c r="B137" s="19">
        <v>8.6</v>
      </c>
      <c r="C137" s="19">
        <v>23.4</v>
      </c>
      <c r="D137" s="28">
        <v>3.33</v>
      </c>
      <c r="E137" s="19">
        <v>7.4</v>
      </c>
    </row>
    <row r="138" spans="1:5" x14ac:dyDescent="0.25">
      <c r="A138" s="30">
        <v>8.8000000000000007</v>
      </c>
      <c r="B138" s="19">
        <v>8.8000000000000007</v>
      </c>
      <c r="C138" s="19">
        <v>20.8</v>
      </c>
      <c r="D138" s="28">
        <v>3.68</v>
      </c>
      <c r="E138" s="19">
        <v>6</v>
      </c>
    </row>
    <row r="139" spans="1:5" x14ac:dyDescent="0.25">
      <c r="A139" s="30">
        <v>8.81</v>
      </c>
      <c r="B139" s="19">
        <v>8.81</v>
      </c>
      <c r="C139" s="19">
        <v>24.2</v>
      </c>
      <c r="D139" s="28">
        <v>3.36</v>
      </c>
      <c r="E139" s="19">
        <v>6.8</v>
      </c>
    </row>
    <row r="140" spans="1:5" x14ac:dyDescent="0.25">
      <c r="A140" s="30">
        <v>10.4</v>
      </c>
      <c r="B140" s="19">
        <v>10.4</v>
      </c>
      <c r="C140" s="19">
        <v>21</v>
      </c>
      <c r="D140" s="28">
        <v>3.37</v>
      </c>
      <c r="E140" s="19">
        <v>8.1</v>
      </c>
    </row>
    <row r="141" spans="1:5" x14ac:dyDescent="0.25">
      <c r="A141" s="30">
        <v>10.5</v>
      </c>
      <c r="B141" s="19">
        <v>10.5</v>
      </c>
      <c r="C141" s="19">
        <v>25.4</v>
      </c>
      <c r="D141" s="28">
        <v>3.29</v>
      </c>
      <c r="E141" s="19">
        <v>12</v>
      </c>
    </row>
    <row r="142" spans="1:5" x14ac:dyDescent="0.25">
      <c r="A142" s="30">
        <v>11.8</v>
      </c>
      <c r="B142" s="19">
        <v>35.400000000000006</v>
      </c>
      <c r="C142" s="19">
        <v>23.466666666666669</v>
      </c>
      <c r="D142" s="28">
        <v>3.5633333333333339</v>
      </c>
      <c r="E142" s="19">
        <v>7.7333333333333343</v>
      </c>
    </row>
    <row r="143" spans="1:5" x14ac:dyDescent="0.25">
      <c r="A143" s="30">
        <v>12.007</v>
      </c>
      <c r="B143" s="19">
        <v>12.007</v>
      </c>
      <c r="C143" s="19">
        <v>19.2</v>
      </c>
      <c r="D143" s="28">
        <v>3.04</v>
      </c>
      <c r="E143" s="19">
        <v>11.4</v>
      </c>
    </row>
    <row r="144" spans="1:5" x14ac:dyDescent="0.25">
      <c r="A144" s="30">
        <v>12.2</v>
      </c>
      <c r="B144" s="19">
        <v>12.2</v>
      </c>
      <c r="C144" s="19">
        <v>24</v>
      </c>
      <c r="D144" s="28">
        <v>3.36</v>
      </c>
      <c r="E144" s="19">
        <v>10.5</v>
      </c>
    </row>
    <row r="145" spans="1:5" x14ac:dyDescent="0.25">
      <c r="A145" s="30">
        <v>12.5</v>
      </c>
      <c r="B145" s="19">
        <v>12.5</v>
      </c>
      <c r="C145" s="19">
        <v>23.8</v>
      </c>
      <c r="D145" s="28">
        <v>3.64</v>
      </c>
      <c r="E145" s="19">
        <v>12.5</v>
      </c>
    </row>
    <row r="146" spans="1:5" x14ac:dyDescent="0.25">
      <c r="A146" s="30">
        <v>14.4</v>
      </c>
      <c r="B146" s="19">
        <v>14.4</v>
      </c>
      <c r="C146" s="19">
        <v>20.8</v>
      </c>
      <c r="D146" s="28">
        <v>3.46</v>
      </c>
      <c r="E146" s="19">
        <v>7.1</v>
      </c>
    </row>
    <row r="147" spans="1:5" x14ac:dyDescent="0.25">
      <c r="A147" s="30">
        <v>19.45</v>
      </c>
      <c r="B147" s="19">
        <v>19.45</v>
      </c>
      <c r="C147" s="19">
        <v>19.8</v>
      </c>
      <c r="D147" s="28">
        <v>3.42</v>
      </c>
      <c r="E147" s="19">
        <v>6.45</v>
      </c>
    </row>
    <row r="148" spans="1:5" x14ac:dyDescent="0.25">
      <c r="A148" s="30">
        <v>19.5</v>
      </c>
      <c r="B148" s="19">
        <v>19.5</v>
      </c>
      <c r="C148" s="19">
        <v>18.8</v>
      </c>
      <c r="D148" s="28">
        <v>3.45</v>
      </c>
      <c r="E148" s="19">
        <v>7.8</v>
      </c>
    </row>
    <row r="149" spans="1:5" x14ac:dyDescent="0.25">
      <c r="A149" s="30">
        <v>21.3</v>
      </c>
      <c r="B149" s="19">
        <v>21.3</v>
      </c>
      <c r="C149" s="19"/>
      <c r="D149" s="28"/>
      <c r="E149" s="19"/>
    </row>
    <row r="150" spans="1:5" x14ac:dyDescent="0.25">
      <c r="A150" s="30">
        <v>21.9</v>
      </c>
      <c r="B150" s="19">
        <v>65.699999999999989</v>
      </c>
      <c r="C150" s="19">
        <v>18.899999999999999</v>
      </c>
      <c r="D150" s="28">
        <v>3.1399999999999997</v>
      </c>
      <c r="E150" s="19">
        <v>9.9499999999999993</v>
      </c>
    </row>
    <row r="151" spans="1:5" x14ac:dyDescent="0.25">
      <c r="A151" s="30">
        <v>22.7</v>
      </c>
      <c r="B151" s="19">
        <v>22.7</v>
      </c>
      <c r="C151" s="19">
        <v>18</v>
      </c>
      <c r="D151" s="28">
        <v>3.17</v>
      </c>
      <c r="E151" s="19">
        <v>12.3</v>
      </c>
    </row>
    <row r="152" spans="1:5" x14ac:dyDescent="0.25">
      <c r="A152" s="30">
        <v>26.24</v>
      </c>
      <c r="B152" s="19">
        <v>26.24</v>
      </c>
      <c r="C152" s="19">
        <v>20</v>
      </c>
      <c r="D152" s="28">
        <v>3.21</v>
      </c>
      <c r="E152" s="19">
        <v>11</v>
      </c>
    </row>
    <row r="153" spans="1:5" x14ac:dyDescent="0.25">
      <c r="A153" s="30">
        <v>34</v>
      </c>
      <c r="B153" s="19">
        <v>34</v>
      </c>
      <c r="C153" s="19">
        <v>18.2</v>
      </c>
      <c r="D153" s="28">
        <v>3.04</v>
      </c>
      <c r="E153" s="19">
        <v>11.5</v>
      </c>
    </row>
    <row r="154" spans="1:5" x14ac:dyDescent="0.25">
      <c r="A154" s="30">
        <v>36.799999999999997</v>
      </c>
      <c r="B154" s="19">
        <v>36.799999999999997</v>
      </c>
      <c r="C154" s="19"/>
      <c r="D154" s="28"/>
      <c r="E154" s="19"/>
    </row>
    <row r="155" spans="1:5" x14ac:dyDescent="0.25">
      <c r="A155" s="30">
        <v>38.120000000000005</v>
      </c>
      <c r="B155" s="19">
        <v>38.120000000000005</v>
      </c>
      <c r="C155" s="19">
        <v>19.95</v>
      </c>
      <c r="D155" s="28">
        <v>3.105</v>
      </c>
      <c r="E155" s="19">
        <v>9.14</v>
      </c>
    </row>
    <row r="156" spans="1:5" x14ac:dyDescent="0.25">
      <c r="A156" s="30">
        <v>40.79</v>
      </c>
      <c r="B156" s="19">
        <v>40.79</v>
      </c>
      <c r="C156" s="19">
        <v>16.839999999999996</v>
      </c>
      <c r="D156" s="28">
        <v>3.3180000000000001</v>
      </c>
      <c r="E156" s="19">
        <v>7.8140000000000001</v>
      </c>
    </row>
    <row r="157" spans="1:5" x14ac:dyDescent="0.25">
      <c r="A157" s="30" t="s">
        <v>169</v>
      </c>
      <c r="B157" s="19"/>
      <c r="C157" s="19">
        <v>23.4</v>
      </c>
      <c r="D157" s="28">
        <v>3.33</v>
      </c>
      <c r="E157" s="19">
        <v>7.4</v>
      </c>
    </row>
    <row r="158" spans="1:5" x14ac:dyDescent="0.25">
      <c r="A158" s="18" t="s">
        <v>116</v>
      </c>
      <c r="B158" s="19">
        <v>178.99200000000002</v>
      </c>
      <c r="C158" s="29">
        <v>21.589473684210525</v>
      </c>
      <c r="D158" s="28">
        <v>3.4410526315789478</v>
      </c>
      <c r="E158" s="29">
        <v>7.4026315789473687</v>
      </c>
    </row>
    <row r="159" spans="1:5" x14ac:dyDescent="0.25">
      <c r="A159" s="30">
        <v>0.3</v>
      </c>
      <c r="B159" s="19">
        <v>0.3</v>
      </c>
      <c r="C159" s="19">
        <v>25.8</v>
      </c>
      <c r="D159" s="28">
        <v>3.69</v>
      </c>
      <c r="E159" s="19">
        <v>5.7</v>
      </c>
    </row>
    <row r="160" spans="1:5" x14ac:dyDescent="0.25">
      <c r="A160" s="30">
        <v>0.35</v>
      </c>
      <c r="B160" s="19">
        <v>0.35</v>
      </c>
      <c r="C160" s="19"/>
      <c r="D160" s="28"/>
      <c r="E160" s="19"/>
    </row>
    <row r="161" spans="1:5" x14ac:dyDescent="0.25">
      <c r="A161" s="30">
        <v>1.6</v>
      </c>
      <c r="B161" s="19">
        <v>1.6</v>
      </c>
      <c r="C161" s="19">
        <v>23</v>
      </c>
      <c r="D161" s="28">
        <v>3.75</v>
      </c>
      <c r="E161" s="19">
        <v>5.5</v>
      </c>
    </row>
    <row r="162" spans="1:5" x14ac:dyDescent="0.25">
      <c r="A162" s="30">
        <v>2.2000000000000002</v>
      </c>
      <c r="B162" s="19">
        <v>2.2000000000000002</v>
      </c>
      <c r="C162" s="19">
        <v>22.2</v>
      </c>
      <c r="D162" s="28">
        <v>3.45</v>
      </c>
      <c r="E162" s="19">
        <v>6.9</v>
      </c>
    </row>
    <row r="163" spans="1:5" x14ac:dyDescent="0.25">
      <c r="A163" s="30">
        <v>2.7650000000000001</v>
      </c>
      <c r="B163" s="19">
        <v>2.7650000000000001</v>
      </c>
      <c r="C163" s="19">
        <v>21.4</v>
      </c>
      <c r="D163" s="28">
        <v>3.31</v>
      </c>
      <c r="E163" s="19">
        <v>8.9</v>
      </c>
    </row>
    <row r="164" spans="1:5" x14ac:dyDescent="0.25">
      <c r="A164" s="30">
        <v>3.6</v>
      </c>
      <c r="B164" s="19">
        <v>3.6</v>
      </c>
      <c r="C164" s="19">
        <v>24.6</v>
      </c>
      <c r="D164" s="28">
        <v>3.31</v>
      </c>
      <c r="E164" s="19">
        <v>6.6</v>
      </c>
    </row>
    <row r="165" spans="1:5" x14ac:dyDescent="0.25">
      <c r="A165" s="30">
        <v>4.9610000000000003</v>
      </c>
      <c r="B165" s="19">
        <v>4.9610000000000003</v>
      </c>
      <c r="C165" s="19">
        <v>17.600000000000001</v>
      </c>
      <c r="D165" s="28">
        <v>3.05</v>
      </c>
      <c r="E165" s="19">
        <v>11.4</v>
      </c>
    </row>
    <row r="166" spans="1:5" x14ac:dyDescent="0.25">
      <c r="A166" s="30">
        <v>5.4</v>
      </c>
      <c r="B166" s="19">
        <v>5.4</v>
      </c>
      <c r="C166" s="19">
        <v>23.2</v>
      </c>
      <c r="D166" s="28">
        <v>3.21</v>
      </c>
      <c r="E166" s="19">
        <v>7.7</v>
      </c>
    </row>
    <row r="167" spans="1:5" x14ac:dyDescent="0.25">
      <c r="A167" s="30">
        <v>9.1</v>
      </c>
      <c r="B167" s="19">
        <v>9.1</v>
      </c>
      <c r="C167" s="19">
        <v>25</v>
      </c>
      <c r="D167" s="28">
        <v>3.87</v>
      </c>
      <c r="E167" s="19">
        <v>5.3</v>
      </c>
    </row>
    <row r="168" spans="1:5" x14ac:dyDescent="0.25">
      <c r="A168" s="30">
        <v>9.6999999999999993</v>
      </c>
      <c r="B168" s="19">
        <v>9.6999999999999993</v>
      </c>
      <c r="C168" s="19">
        <v>23.4</v>
      </c>
      <c r="D168" s="28">
        <v>3.41</v>
      </c>
      <c r="E168" s="19">
        <v>7.7</v>
      </c>
    </row>
    <row r="169" spans="1:5" x14ac:dyDescent="0.25">
      <c r="A169" s="30">
        <v>10.240500000000001</v>
      </c>
      <c r="B169" s="19">
        <v>10.240500000000001</v>
      </c>
      <c r="C169" s="19">
        <v>18.600000000000001</v>
      </c>
      <c r="D169" s="28">
        <v>3.1</v>
      </c>
      <c r="E169" s="19">
        <v>11</v>
      </c>
    </row>
    <row r="170" spans="1:5" x14ac:dyDescent="0.25">
      <c r="A170" s="30">
        <v>10.5</v>
      </c>
      <c r="B170" s="19">
        <v>10.5</v>
      </c>
      <c r="C170" s="19">
        <v>24.4</v>
      </c>
      <c r="D170" s="28">
        <v>3.87</v>
      </c>
      <c r="E170" s="19">
        <v>4</v>
      </c>
    </row>
    <row r="171" spans="1:5" x14ac:dyDescent="0.25">
      <c r="A171" s="30">
        <v>12.17</v>
      </c>
      <c r="B171" s="19">
        <v>12.17</v>
      </c>
      <c r="C171" s="19">
        <v>23</v>
      </c>
      <c r="D171" s="28">
        <v>3.68</v>
      </c>
      <c r="E171" s="19">
        <v>5.7</v>
      </c>
    </row>
    <row r="172" spans="1:5" x14ac:dyDescent="0.25">
      <c r="A172" s="30">
        <v>12.7</v>
      </c>
      <c r="B172" s="19">
        <v>12.7</v>
      </c>
      <c r="C172" s="19">
        <v>19.600000000000001</v>
      </c>
      <c r="D172" s="28">
        <v>3.33</v>
      </c>
      <c r="E172" s="19">
        <v>6</v>
      </c>
    </row>
    <row r="173" spans="1:5" x14ac:dyDescent="0.25">
      <c r="A173" s="30">
        <v>13</v>
      </c>
      <c r="B173" s="19">
        <v>13</v>
      </c>
      <c r="C173" s="19">
        <v>18.8</v>
      </c>
      <c r="D173" s="28">
        <v>3.27</v>
      </c>
      <c r="E173" s="19">
        <v>11.3</v>
      </c>
    </row>
    <row r="174" spans="1:5" x14ac:dyDescent="0.25">
      <c r="A174" s="30">
        <v>13.7</v>
      </c>
      <c r="B174" s="19">
        <v>13.7</v>
      </c>
      <c r="C174" s="19">
        <v>21</v>
      </c>
      <c r="D174" s="28">
        <v>3.57</v>
      </c>
      <c r="E174" s="19">
        <v>7.05</v>
      </c>
    </row>
    <row r="175" spans="1:5" x14ac:dyDescent="0.25">
      <c r="A175" s="30">
        <v>14.48</v>
      </c>
      <c r="B175" s="19">
        <v>14.48</v>
      </c>
      <c r="C175" s="19">
        <v>19.2</v>
      </c>
      <c r="D175" s="28">
        <v>3.29</v>
      </c>
      <c r="E175" s="19">
        <v>9.1999999999999993</v>
      </c>
    </row>
    <row r="176" spans="1:5" x14ac:dyDescent="0.25">
      <c r="A176" s="30">
        <v>14.525499999999999</v>
      </c>
      <c r="B176" s="19">
        <v>14.525499999999999</v>
      </c>
      <c r="C176" s="19">
        <v>19.2</v>
      </c>
      <c r="D176" s="28">
        <v>3.31</v>
      </c>
      <c r="E176" s="19">
        <v>7.8</v>
      </c>
    </row>
    <row r="177" spans="1:5" x14ac:dyDescent="0.25">
      <c r="A177" s="30">
        <v>18.8</v>
      </c>
      <c r="B177" s="19">
        <v>18.8</v>
      </c>
      <c r="C177" s="19">
        <v>18</v>
      </c>
      <c r="D177" s="28">
        <v>3.3</v>
      </c>
      <c r="E177" s="19">
        <v>7.6</v>
      </c>
    </row>
    <row r="178" spans="1:5" x14ac:dyDescent="0.25">
      <c r="A178" s="30">
        <v>18.899999999999999</v>
      </c>
      <c r="B178" s="19">
        <v>18.899999999999999</v>
      </c>
      <c r="C178" s="19">
        <v>22.2</v>
      </c>
      <c r="D178" s="28">
        <v>3.61</v>
      </c>
      <c r="E178" s="19">
        <v>5.3</v>
      </c>
    </row>
    <row r="179" spans="1:5" x14ac:dyDescent="0.25">
      <c r="A179" s="18" t="s">
        <v>122</v>
      </c>
      <c r="B179" s="19">
        <v>182.45</v>
      </c>
      <c r="C179" s="29">
        <v>22.211111111111109</v>
      </c>
      <c r="D179" s="28">
        <v>3.2968055555555549</v>
      </c>
      <c r="E179" s="29">
        <v>7.7744444444444438</v>
      </c>
    </row>
    <row r="180" spans="1:5" x14ac:dyDescent="0.25">
      <c r="A180" s="30">
        <v>10.9</v>
      </c>
      <c r="B180" s="19">
        <v>10.9</v>
      </c>
      <c r="C180" s="19">
        <v>23.6</v>
      </c>
      <c r="D180" s="28">
        <v>2.96</v>
      </c>
      <c r="E180" s="19">
        <v>9.9</v>
      </c>
    </row>
    <row r="181" spans="1:5" x14ac:dyDescent="0.25">
      <c r="A181" s="30">
        <v>22.6</v>
      </c>
      <c r="B181" s="19">
        <v>22.6</v>
      </c>
      <c r="C181" s="19">
        <v>25</v>
      </c>
      <c r="D181" s="28">
        <v>3.51</v>
      </c>
      <c r="E181" s="19">
        <v>5.3</v>
      </c>
    </row>
    <row r="182" spans="1:5" x14ac:dyDescent="0.25">
      <c r="A182" s="30">
        <v>32.64</v>
      </c>
      <c r="B182" s="19">
        <v>32.64</v>
      </c>
      <c r="C182" s="19">
        <v>21.8</v>
      </c>
      <c r="D182" s="28">
        <v>3.61</v>
      </c>
      <c r="E182" s="19">
        <v>5</v>
      </c>
    </row>
    <row r="183" spans="1:5" x14ac:dyDescent="0.25">
      <c r="A183" s="30">
        <v>36.43</v>
      </c>
      <c r="B183" s="19">
        <v>36.43</v>
      </c>
      <c r="C183" s="19">
        <v>20.350000000000001</v>
      </c>
      <c r="D183" s="28">
        <v>3.0575000000000001</v>
      </c>
      <c r="E183" s="19">
        <v>9.98</v>
      </c>
    </row>
    <row r="184" spans="1:5" x14ac:dyDescent="0.25">
      <c r="A184" s="30">
        <v>38.869999999999997</v>
      </c>
      <c r="B184" s="19">
        <v>38.869999999999997</v>
      </c>
      <c r="C184" s="19">
        <v>20</v>
      </c>
      <c r="D184" s="28">
        <v>3.06</v>
      </c>
      <c r="E184" s="19">
        <v>10.9</v>
      </c>
    </row>
    <row r="185" spans="1:5" x14ac:dyDescent="0.25">
      <c r="A185" s="30">
        <v>41.010000000000005</v>
      </c>
      <c r="B185" s="19">
        <v>41.010000000000005</v>
      </c>
      <c r="C185" s="19">
        <v>22.516666666666666</v>
      </c>
      <c r="D185" s="28">
        <v>3.5833333333333335</v>
      </c>
      <c r="E185" s="19">
        <v>5.5666666666666664</v>
      </c>
    </row>
    <row r="186" spans="1:5" x14ac:dyDescent="0.25">
      <c r="A186" s="18" t="s">
        <v>128</v>
      </c>
      <c r="B186" s="29">
        <v>11.82</v>
      </c>
      <c r="C186" s="29">
        <v>22.4</v>
      </c>
      <c r="D186" s="28">
        <v>3.4</v>
      </c>
      <c r="E186" s="29">
        <v>10.6</v>
      </c>
    </row>
    <row r="187" spans="1:5" x14ac:dyDescent="0.25">
      <c r="A187" s="30">
        <v>11.82</v>
      </c>
      <c r="B187" s="19">
        <v>11.82</v>
      </c>
      <c r="C187" s="19">
        <v>22.4</v>
      </c>
      <c r="D187" s="28">
        <v>3.4</v>
      </c>
      <c r="E187" s="19">
        <v>10.6</v>
      </c>
    </row>
    <row r="188" spans="1:5" x14ac:dyDescent="0.25">
      <c r="A188" s="30" t="s">
        <v>169</v>
      </c>
      <c r="B188" s="19"/>
      <c r="C188" s="19"/>
      <c r="D188" s="28"/>
      <c r="E188" s="19"/>
    </row>
    <row r="189" spans="1:5" x14ac:dyDescent="0.25">
      <c r="A189" s="18" t="s">
        <v>115</v>
      </c>
      <c r="B189" s="19">
        <v>572.53899999999999</v>
      </c>
      <c r="C189" s="29">
        <v>23.373214285714287</v>
      </c>
      <c r="D189" s="28">
        <v>3.4376785714285711</v>
      </c>
      <c r="E189" s="29">
        <v>9.564821428571431</v>
      </c>
    </row>
    <row r="190" spans="1:5" x14ac:dyDescent="0.25">
      <c r="A190" s="30">
        <v>0.6</v>
      </c>
      <c r="B190" s="19">
        <v>0.6</v>
      </c>
      <c r="C190" s="19"/>
      <c r="D190" s="28"/>
      <c r="E190" s="19"/>
    </row>
    <row r="191" spans="1:5" x14ac:dyDescent="0.25">
      <c r="A191" s="30">
        <v>0.72450000000000003</v>
      </c>
      <c r="B191" s="19">
        <v>0.72450000000000003</v>
      </c>
      <c r="C191" s="19">
        <v>19.2</v>
      </c>
      <c r="D191" s="28">
        <v>3.25</v>
      </c>
      <c r="E191" s="19">
        <v>9.3000000000000007</v>
      </c>
    </row>
    <row r="192" spans="1:5" x14ac:dyDescent="0.25">
      <c r="A192" s="30">
        <v>0.8</v>
      </c>
      <c r="B192" s="19">
        <v>1.6</v>
      </c>
      <c r="C192" s="19">
        <v>19.8</v>
      </c>
      <c r="D192" s="28">
        <v>3.14</v>
      </c>
      <c r="E192" s="19">
        <v>9.5500000000000007</v>
      </c>
    </row>
    <row r="193" spans="1:5" x14ac:dyDescent="0.25">
      <c r="A193" s="30">
        <v>0.9</v>
      </c>
      <c r="B193" s="19">
        <v>0.9</v>
      </c>
      <c r="C193" s="19">
        <v>21</v>
      </c>
      <c r="D193" s="28">
        <v>3.15</v>
      </c>
      <c r="E193" s="19">
        <v>8.1</v>
      </c>
    </row>
    <row r="194" spans="1:5" x14ac:dyDescent="0.25">
      <c r="A194" s="30">
        <v>0.99</v>
      </c>
      <c r="B194" s="19">
        <v>0.99</v>
      </c>
      <c r="C194" s="19">
        <v>18.600000000000001</v>
      </c>
      <c r="D194" s="28">
        <v>3.15</v>
      </c>
      <c r="E194" s="19">
        <v>10.1</v>
      </c>
    </row>
    <row r="195" spans="1:5" x14ac:dyDescent="0.25">
      <c r="A195" s="30">
        <v>1.1000000000000001</v>
      </c>
      <c r="B195" s="19">
        <v>1.1000000000000001</v>
      </c>
      <c r="C195" s="19">
        <v>25.2</v>
      </c>
      <c r="D195" s="28">
        <v>3.74</v>
      </c>
      <c r="E195" s="19">
        <v>9.6999999999999993</v>
      </c>
    </row>
    <row r="196" spans="1:5" x14ac:dyDescent="0.25">
      <c r="A196" s="30">
        <v>1.18</v>
      </c>
      <c r="B196" s="19">
        <v>1.18</v>
      </c>
      <c r="C196" s="19">
        <v>18.399999999999999</v>
      </c>
      <c r="D196" s="28">
        <v>3.13</v>
      </c>
      <c r="E196" s="19">
        <v>10.199999999999999</v>
      </c>
    </row>
    <row r="197" spans="1:5" x14ac:dyDescent="0.25">
      <c r="A197" s="30">
        <v>2.6</v>
      </c>
      <c r="B197" s="19">
        <v>2.6</v>
      </c>
      <c r="C197" s="19">
        <v>22</v>
      </c>
      <c r="D197" s="28">
        <v>3.13</v>
      </c>
      <c r="E197" s="19">
        <v>13.7</v>
      </c>
    </row>
    <row r="198" spans="1:5" x14ac:dyDescent="0.25">
      <c r="A198" s="30">
        <v>3.06</v>
      </c>
      <c r="B198" s="19">
        <v>3.06</v>
      </c>
      <c r="C198" s="19">
        <v>23.6</v>
      </c>
      <c r="D198" s="28">
        <v>3.48</v>
      </c>
      <c r="E198" s="19">
        <v>7.43</v>
      </c>
    </row>
    <row r="199" spans="1:5" x14ac:dyDescent="0.25">
      <c r="A199" s="30">
        <v>3.09</v>
      </c>
      <c r="B199" s="19">
        <v>3.09</v>
      </c>
      <c r="C199" s="19"/>
      <c r="D199" s="28"/>
      <c r="E199" s="19"/>
    </row>
    <row r="200" spans="1:5" x14ac:dyDescent="0.25">
      <c r="A200" s="30">
        <v>3.6</v>
      </c>
      <c r="B200" s="19">
        <v>3.6</v>
      </c>
      <c r="C200" s="19">
        <v>20.5</v>
      </c>
      <c r="D200" s="28">
        <v>3.28</v>
      </c>
      <c r="E200" s="19">
        <v>9.43</v>
      </c>
    </row>
    <row r="201" spans="1:5" x14ac:dyDescent="0.25">
      <c r="A201" s="30">
        <v>8.9</v>
      </c>
      <c r="B201" s="19">
        <v>8.9</v>
      </c>
      <c r="C201" s="19">
        <v>24.4</v>
      </c>
      <c r="D201" s="28">
        <v>3.47</v>
      </c>
      <c r="E201" s="19">
        <v>7.1</v>
      </c>
    </row>
    <row r="202" spans="1:5" x14ac:dyDescent="0.25">
      <c r="A202" s="30">
        <v>11.4</v>
      </c>
      <c r="B202" s="19">
        <v>11.4</v>
      </c>
      <c r="C202" s="19">
        <v>21.5</v>
      </c>
      <c r="D202" s="28">
        <v>3.28</v>
      </c>
      <c r="E202" s="19">
        <v>10.43</v>
      </c>
    </row>
    <row r="203" spans="1:5" x14ac:dyDescent="0.25">
      <c r="A203" s="30">
        <v>13.2</v>
      </c>
      <c r="B203" s="19">
        <v>39.599999999999994</v>
      </c>
      <c r="C203" s="19">
        <v>25.066666666666666</v>
      </c>
      <c r="D203" s="28">
        <v>3.7333333333333329</v>
      </c>
      <c r="E203" s="19">
        <v>11.283333333333333</v>
      </c>
    </row>
    <row r="204" spans="1:5" x14ac:dyDescent="0.25">
      <c r="A204" s="30">
        <v>13.22</v>
      </c>
      <c r="B204" s="19">
        <v>13.22</v>
      </c>
      <c r="C204" s="19"/>
      <c r="D204" s="28"/>
      <c r="E204" s="19"/>
    </row>
    <row r="205" spans="1:5" x14ac:dyDescent="0.25">
      <c r="A205" s="30">
        <v>13.54</v>
      </c>
      <c r="B205" s="19">
        <v>13.54</v>
      </c>
      <c r="C205" s="19">
        <v>23.2</v>
      </c>
      <c r="D205" s="28">
        <v>3.35</v>
      </c>
      <c r="E205" s="19">
        <v>10</v>
      </c>
    </row>
    <row r="206" spans="1:5" x14ac:dyDescent="0.25">
      <c r="A206" s="30">
        <v>15.5</v>
      </c>
      <c r="B206" s="19">
        <v>15.5</v>
      </c>
      <c r="C206" s="19">
        <v>19.8</v>
      </c>
      <c r="D206" s="28">
        <v>3.13</v>
      </c>
      <c r="E206" s="19">
        <v>12.4</v>
      </c>
    </row>
    <row r="207" spans="1:5" x14ac:dyDescent="0.25">
      <c r="A207" s="30">
        <v>25.03</v>
      </c>
      <c r="B207" s="19">
        <v>25.03</v>
      </c>
      <c r="C207" s="19">
        <v>24.5</v>
      </c>
      <c r="D207" s="28">
        <v>3.4</v>
      </c>
      <c r="E207" s="19">
        <v>10.199999999999999</v>
      </c>
    </row>
    <row r="208" spans="1:5" x14ac:dyDescent="0.25">
      <c r="A208" s="30">
        <v>29.7</v>
      </c>
      <c r="B208" s="19">
        <v>29.7</v>
      </c>
      <c r="C208" s="19">
        <v>26.2</v>
      </c>
      <c r="D208" s="28">
        <v>3.59</v>
      </c>
      <c r="E208" s="19">
        <v>8.9</v>
      </c>
    </row>
    <row r="209" spans="1:5" x14ac:dyDescent="0.25">
      <c r="A209" s="30">
        <v>31.162500000000001</v>
      </c>
      <c r="B209" s="19">
        <v>31.162500000000001</v>
      </c>
      <c r="C209" s="19">
        <v>23.6</v>
      </c>
      <c r="D209" s="28">
        <v>3.2</v>
      </c>
      <c r="E209" s="19">
        <v>12.5</v>
      </c>
    </row>
    <row r="210" spans="1:5" x14ac:dyDescent="0.25">
      <c r="A210" s="30">
        <v>37.201999999999998</v>
      </c>
      <c r="B210" s="19">
        <v>37.201999999999998</v>
      </c>
      <c r="C210" s="19">
        <v>25.2</v>
      </c>
      <c r="D210" s="28">
        <v>3.39</v>
      </c>
      <c r="E210" s="19">
        <v>9.4</v>
      </c>
    </row>
    <row r="211" spans="1:5" x14ac:dyDescent="0.25">
      <c r="A211" s="30">
        <v>38.1</v>
      </c>
      <c r="B211" s="19">
        <v>38.1</v>
      </c>
      <c r="C211" s="19">
        <v>26.6</v>
      </c>
      <c r="D211" s="28">
        <v>3.72</v>
      </c>
      <c r="E211" s="19">
        <v>7.4</v>
      </c>
    </row>
    <row r="212" spans="1:5" x14ac:dyDescent="0.25">
      <c r="A212" s="30">
        <v>38.299999999999997</v>
      </c>
      <c r="B212" s="19">
        <v>38.299999999999997</v>
      </c>
      <c r="C212" s="19">
        <v>27.2</v>
      </c>
      <c r="D212" s="28">
        <v>3.62</v>
      </c>
      <c r="E212" s="19">
        <v>8.6999999999999993</v>
      </c>
    </row>
    <row r="213" spans="1:5" x14ac:dyDescent="0.25">
      <c r="A213" s="30">
        <v>39.200000000000003</v>
      </c>
      <c r="B213" s="19">
        <v>39.200000000000003</v>
      </c>
      <c r="C213" s="19">
        <v>24</v>
      </c>
      <c r="D213" s="28">
        <v>3.47</v>
      </c>
      <c r="E213" s="19">
        <v>9.3000000000000007</v>
      </c>
    </row>
    <row r="214" spans="1:5" x14ac:dyDescent="0.25">
      <c r="A214" s="30">
        <v>41.8</v>
      </c>
      <c r="B214" s="19">
        <v>41.8</v>
      </c>
      <c r="C214" s="19">
        <v>27</v>
      </c>
      <c r="D214" s="28">
        <v>3.98</v>
      </c>
      <c r="E214" s="19">
        <v>7.4</v>
      </c>
    </row>
    <row r="215" spans="1:5" x14ac:dyDescent="0.25">
      <c r="A215" s="30">
        <v>41.9</v>
      </c>
      <c r="B215" s="19">
        <v>41.9</v>
      </c>
      <c r="C215" s="19">
        <v>25.2</v>
      </c>
      <c r="D215" s="28">
        <v>3.58</v>
      </c>
      <c r="E215" s="19">
        <v>7.8</v>
      </c>
    </row>
    <row r="216" spans="1:5" x14ac:dyDescent="0.25">
      <c r="A216" s="30">
        <v>47.87</v>
      </c>
      <c r="B216" s="19">
        <v>47.87</v>
      </c>
      <c r="C216" s="19">
        <v>26.550000000000004</v>
      </c>
      <c r="D216" s="28">
        <v>3.6850000000000001</v>
      </c>
      <c r="E216" s="19">
        <v>8.1750000000000007</v>
      </c>
    </row>
    <row r="217" spans="1:5" x14ac:dyDescent="0.25">
      <c r="A217" s="30">
        <v>80.67</v>
      </c>
      <c r="B217" s="19">
        <v>80.67</v>
      </c>
      <c r="C217" s="19"/>
      <c r="D217" s="28"/>
      <c r="E217" s="19"/>
    </row>
    <row r="218" spans="1:5" x14ac:dyDescent="0.25">
      <c r="A218" s="30" t="s">
        <v>169</v>
      </c>
      <c r="B218" s="19"/>
      <c r="C218" s="19">
        <v>26.2</v>
      </c>
      <c r="D218" s="28">
        <v>3.6</v>
      </c>
      <c r="E218" s="19">
        <v>7.2</v>
      </c>
    </row>
    <row r="219" spans="1:5" x14ac:dyDescent="0.25">
      <c r="A219" s="18" t="s">
        <v>117</v>
      </c>
      <c r="B219" s="19">
        <v>74.039999999999992</v>
      </c>
      <c r="C219" s="29">
        <v>22.266666666666666</v>
      </c>
      <c r="D219" s="28">
        <v>3.5333333333333332</v>
      </c>
      <c r="E219" s="29">
        <v>7.3</v>
      </c>
    </row>
    <row r="220" spans="1:5" x14ac:dyDescent="0.25">
      <c r="A220" s="30">
        <v>11.7</v>
      </c>
      <c r="B220" s="19">
        <v>11.7</v>
      </c>
      <c r="C220" s="19">
        <v>23.8</v>
      </c>
      <c r="D220" s="28">
        <v>3.52</v>
      </c>
      <c r="E220" s="19">
        <v>8.6</v>
      </c>
    </row>
    <row r="221" spans="1:5" x14ac:dyDescent="0.25">
      <c r="A221" s="30">
        <v>15.55</v>
      </c>
      <c r="B221" s="19">
        <v>15.55</v>
      </c>
      <c r="C221" s="19"/>
      <c r="D221" s="28"/>
      <c r="E221" s="19"/>
    </row>
    <row r="222" spans="1:5" x14ac:dyDescent="0.25">
      <c r="A222" s="30">
        <v>17.89</v>
      </c>
      <c r="B222" s="19">
        <v>17.89</v>
      </c>
      <c r="C222" s="19">
        <v>22.8</v>
      </c>
      <c r="D222" s="28">
        <v>3.4699999999999998</v>
      </c>
      <c r="E222" s="19">
        <v>6.85</v>
      </c>
    </row>
    <row r="223" spans="1:5" x14ac:dyDescent="0.25">
      <c r="A223" s="30">
        <v>28.9</v>
      </c>
      <c r="B223" s="19">
        <v>28.9</v>
      </c>
      <c r="C223" s="19">
        <v>20.2</v>
      </c>
      <c r="D223" s="28">
        <v>3.61</v>
      </c>
      <c r="E223" s="19">
        <v>6.45</v>
      </c>
    </row>
    <row r="224" spans="1:5" x14ac:dyDescent="0.25">
      <c r="A224" s="30" t="s">
        <v>169</v>
      </c>
      <c r="B224" s="19"/>
      <c r="C224" s="19"/>
      <c r="D224" s="28"/>
      <c r="E224" s="19"/>
    </row>
    <row r="225" spans="1:5" x14ac:dyDescent="0.25">
      <c r="A225" s="18" t="s">
        <v>91</v>
      </c>
      <c r="B225" s="29">
        <v>5001.5835000000034</v>
      </c>
      <c r="C225" s="29">
        <v>24.211384335154804</v>
      </c>
      <c r="D225" s="28">
        <v>3.3982461773700323</v>
      </c>
      <c r="E225" s="29">
        <v>7.9760003063725469</v>
      </c>
    </row>
    <row r="226" spans="1:5" x14ac:dyDescent="0.25">
      <c r="A226" s="30">
        <v>0</v>
      </c>
      <c r="B226" s="19">
        <v>0</v>
      </c>
      <c r="C226" s="19">
        <v>22.4</v>
      </c>
      <c r="D226" s="28">
        <v>3.15</v>
      </c>
      <c r="E226" s="19">
        <v>11.1</v>
      </c>
    </row>
    <row r="227" spans="1:5" x14ac:dyDescent="0.25">
      <c r="A227" s="30">
        <v>0.23</v>
      </c>
      <c r="B227" s="19">
        <v>0.23</v>
      </c>
      <c r="C227" s="19">
        <v>23.2</v>
      </c>
      <c r="D227" s="28">
        <v>3.47</v>
      </c>
      <c r="E227" s="19">
        <v>6.03</v>
      </c>
    </row>
    <row r="228" spans="1:5" x14ac:dyDescent="0.25">
      <c r="A228" s="30">
        <v>0.25</v>
      </c>
      <c r="B228" s="19">
        <v>0.25</v>
      </c>
      <c r="C228" s="19">
        <v>25.6</v>
      </c>
      <c r="D228" s="28">
        <v>3.51</v>
      </c>
      <c r="E228" s="19">
        <v>6.8</v>
      </c>
    </row>
    <row r="229" spans="1:5" x14ac:dyDescent="0.25">
      <c r="A229" s="30">
        <v>0.3</v>
      </c>
      <c r="B229" s="19">
        <v>0.6</v>
      </c>
      <c r="C229" s="19">
        <v>23.2</v>
      </c>
      <c r="D229" s="28">
        <v>3.43</v>
      </c>
      <c r="E229" s="19">
        <v>9.8000000000000007</v>
      </c>
    </row>
    <row r="230" spans="1:5" x14ac:dyDescent="0.25">
      <c r="A230" s="30">
        <v>0.33</v>
      </c>
      <c r="B230" s="19">
        <v>0.33</v>
      </c>
      <c r="C230" s="19">
        <v>22.2</v>
      </c>
      <c r="D230" s="28">
        <v>3.29</v>
      </c>
      <c r="E230" s="19">
        <v>8.4</v>
      </c>
    </row>
    <row r="231" spans="1:5" x14ac:dyDescent="0.25">
      <c r="A231" s="30">
        <v>0.36</v>
      </c>
      <c r="B231" s="19">
        <v>0.36</v>
      </c>
      <c r="C231" s="19">
        <v>23</v>
      </c>
      <c r="D231" s="28">
        <v>3.25</v>
      </c>
      <c r="E231" s="19">
        <v>9.5</v>
      </c>
    </row>
    <row r="232" spans="1:5" x14ac:dyDescent="0.25">
      <c r="A232" s="30">
        <v>0.44550000000000001</v>
      </c>
      <c r="B232" s="19">
        <v>0.44550000000000001</v>
      </c>
      <c r="C232" s="19">
        <v>21.4</v>
      </c>
      <c r="D232" s="28">
        <v>3.06</v>
      </c>
      <c r="E232" s="19">
        <v>11.6</v>
      </c>
    </row>
    <row r="233" spans="1:5" x14ac:dyDescent="0.25">
      <c r="A233" s="30">
        <v>0.47149999999999997</v>
      </c>
      <c r="B233" s="19">
        <v>0.47149999999999997</v>
      </c>
      <c r="C233" s="19">
        <v>22.4</v>
      </c>
      <c r="D233" s="28">
        <v>3.21</v>
      </c>
      <c r="E233" s="19">
        <v>9.8000000000000007</v>
      </c>
    </row>
    <row r="234" spans="1:5" x14ac:dyDescent="0.25">
      <c r="A234" s="30">
        <v>0.48</v>
      </c>
      <c r="B234" s="19">
        <v>0.48</v>
      </c>
      <c r="C234" s="19">
        <v>25</v>
      </c>
      <c r="D234" s="28">
        <v>3.42</v>
      </c>
      <c r="E234" s="19">
        <v>7.7</v>
      </c>
    </row>
    <row r="235" spans="1:5" x14ac:dyDescent="0.25">
      <c r="A235" s="30">
        <v>0.5</v>
      </c>
      <c r="B235" s="19">
        <v>0.5</v>
      </c>
      <c r="C235" s="19">
        <v>26</v>
      </c>
      <c r="D235" s="28">
        <v>3.8</v>
      </c>
      <c r="E235" s="19">
        <v>5.4</v>
      </c>
    </row>
    <row r="236" spans="1:5" x14ac:dyDescent="0.25">
      <c r="A236" s="30">
        <v>0.52749999999999997</v>
      </c>
      <c r="B236" s="19">
        <v>0.52749999999999997</v>
      </c>
      <c r="C236" s="19">
        <v>23.6</v>
      </c>
      <c r="D236" s="28">
        <v>3.1</v>
      </c>
      <c r="E236" s="19">
        <v>11.4</v>
      </c>
    </row>
    <row r="237" spans="1:5" x14ac:dyDescent="0.25">
      <c r="A237" s="30">
        <v>0.56999999999999995</v>
      </c>
      <c r="B237" s="19">
        <v>0.56999999999999995</v>
      </c>
      <c r="C237" s="19">
        <v>24.6</v>
      </c>
      <c r="D237" s="28">
        <v>3.31</v>
      </c>
      <c r="E237" s="19">
        <v>6.8</v>
      </c>
    </row>
    <row r="238" spans="1:5" x14ac:dyDescent="0.25">
      <c r="A238" s="30">
        <v>0.68149999999999999</v>
      </c>
      <c r="B238" s="19">
        <v>0.68149999999999999</v>
      </c>
      <c r="C238" s="19"/>
      <c r="D238" s="28"/>
      <c r="E238" s="19"/>
    </row>
    <row r="239" spans="1:5" x14ac:dyDescent="0.25">
      <c r="A239" s="30">
        <v>0.7</v>
      </c>
      <c r="B239" s="19">
        <v>0.7</v>
      </c>
      <c r="C239" s="19">
        <v>23.2</v>
      </c>
      <c r="D239" s="28">
        <v>3.62</v>
      </c>
      <c r="E239" s="19">
        <v>6.2</v>
      </c>
    </row>
    <row r="240" spans="1:5" x14ac:dyDescent="0.25">
      <c r="A240" s="30">
        <v>0.86</v>
      </c>
      <c r="B240" s="19">
        <v>0.86</v>
      </c>
      <c r="C240" s="19">
        <v>23.2</v>
      </c>
      <c r="D240" s="28">
        <v>3.62</v>
      </c>
      <c r="E240" s="19">
        <v>6.2</v>
      </c>
    </row>
    <row r="241" spans="1:5" x14ac:dyDescent="0.25">
      <c r="A241" s="30">
        <v>0.9</v>
      </c>
      <c r="B241" s="19">
        <v>1.8</v>
      </c>
      <c r="C241" s="19">
        <v>25.1</v>
      </c>
      <c r="D241" s="28">
        <v>3.8149999999999999</v>
      </c>
      <c r="E241" s="19">
        <v>6.9</v>
      </c>
    </row>
    <row r="242" spans="1:5" x14ac:dyDescent="0.25">
      <c r="A242" s="30">
        <v>0.96899999999999997</v>
      </c>
      <c r="B242" s="19">
        <v>0.96899999999999997</v>
      </c>
      <c r="C242" s="19">
        <v>23.1</v>
      </c>
      <c r="D242" s="28">
        <v>3.15</v>
      </c>
      <c r="E242" s="19">
        <v>10.4</v>
      </c>
    </row>
    <row r="243" spans="1:5" x14ac:dyDescent="0.25">
      <c r="A243" s="30">
        <v>1</v>
      </c>
      <c r="B243" s="19">
        <v>5</v>
      </c>
      <c r="C243" s="19">
        <v>24.3</v>
      </c>
      <c r="D243" s="28">
        <v>3.2750000000000004</v>
      </c>
      <c r="E243" s="19">
        <v>7.75</v>
      </c>
    </row>
    <row r="244" spans="1:5" x14ac:dyDescent="0.25">
      <c r="A244" s="30">
        <v>1.042</v>
      </c>
      <c r="B244" s="19">
        <v>1.042</v>
      </c>
      <c r="C244" s="19"/>
      <c r="D244" s="28"/>
      <c r="E244" s="19"/>
    </row>
    <row r="245" spans="1:5" x14ac:dyDescent="0.25">
      <c r="A245" s="30">
        <v>1.1000000000000001</v>
      </c>
      <c r="B245" s="19">
        <v>2.2000000000000002</v>
      </c>
      <c r="C245" s="19">
        <v>23.6</v>
      </c>
      <c r="D245" s="28">
        <v>3.51</v>
      </c>
      <c r="E245" s="19">
        <v>5.7</v>
      </c>
    </row>
    <row r="246" spans="1:5" x14ac:dyDescent="0.25">
      <c r="A246" s="30">
        <v>1.19</v>
      </c>
      <c r="B246" s="19">
        <v>1.19</v>
      </c>
      <c r="C246" s="19">
        <v>25</v>
      </c>
      <c r="D246" s="28">
        <v>3.42</v>
      </c>
      <c r="E246" s="19">
        <v>7.7</v>
      </c>
    </row>
    <row r="247" spans="1:5" x14ac:dyDescent="0.25">
      <c r="A247" s="30">
        <v>1.2</v>
      </c>
      <c r="B247" s="19">
        <v>2.4</v>
      </c>
      <c r="C247" s="19">
        <v>25.2</v>
      </c>
      <c r="D247" s="28">
        <v>3.41</v>
      </c>
      <c r="E247" s="19">
        <v>6.9</v>
      </c>
    </row>
    <row r="248" spans="1:5" x14ac:dyDescent="0.25">
      <c r="A248" s="30">
        <v>1.25</v>
      </c>
      <c r="B248" s="19">
        <v>1.25</v>
      </c>
      <c r="C248" s="19">
        <v>40</v>
      </c>
      <c r="D248" s="28">
        <v>3.21</v>
      </c>
      <c r="E248" s="19">
        <v>10.199999999999999</v>
      </c>
    </row>
    <row r="249" spans="1:5" x14ac:dyDescent="0.25">
      <c r="A249" s="30">
        <v>1.3</v>
      </c>
      <c r="B249" s="19">
        <v>1.3</v>
      </c>
      <c r="C249" s="19">
        <v>25</v>
      </c>
      <c r="D249" s="28">
        <v>3.09</v>
      </c>
      <c r="E249" s="19">
        <v>10.9</v>
      </c>
    </row>
    <row r="250" spans="1:5" x14ac:dyDescent="0.25">
      <c r="A250" s="30">
        <v>1.4</v>
      </c>
      <c r="B250" s="19">
        <v>2.8</v>
      </c>
      <c r="C250" s="19">
        <v>24.4</v>
      </c>
      <c r="D250" s="28">
        <v>3.395</v>
      </c>
      <c r="E250" s="19">
        <v>6.7</v>
      </c>
    </row>
    <row r="251" spans="1:5" x14ac:dyDescent="0.25">
      <c r="A251" s="30">
        <v>1.42</v>
      </c>
      <c r="B251" s="19">
        <v>1.42</v>
      </c>
      <c r="C251" s="19">
        <v>22.6</v>
      </c>
      <c r="D251" s="28">
        <v>3.44</v>
      </c>
      <c r="E251" s="19">
        <v>7.2</v>
      </c>
    </row>
    <row r="252" spans="1:5" x14ac:dyDescent="0.25">
      <c r="A252" s="30">
        <v>1.49</v>
      </c>
      <c r="B252" s="19">
        <v>1.49</v>
      </c>
      <c r="C252" s="19">
        <v>22.2</v>
      </c>
      <c r="D252" s="28">
        <v>3.02</v>
      </c>
      <c r="E252" s="19">
        <v>9.6</v>
      </c>
    </row>
    <row r="253" spans="1:5" x14ac:dyDescent="0.25">
      <c r="A253" s="30">
        <v>1.54</v>
      </c>
      <c r="B253" s="19">
        <v>1.54</v>
      </c>
      <c r="C253" s="19">
        <v>24.6</v>
      </c>
      <c r="D253" s="28">
        <v>3.47</v>
      </c>
      <c r="E253" s="19">
        <v>5.7</v>
      </c>
    </row>
    <row r="254" spans="1:5" x14ac:dyDescent="0.25">
      <c r="A254" s="30">
        <v>1.67</v>
      </c>
      <c r="B254" s="19">
        <v>1.67</v>
      </c>
      <c r="C254" s="19">
        <v>24.4</v>
      </c>
      <c r="D254" s="28">
        <v>3.45</v>
      </c>
      <c r="E254" s="19">
        <v>5.85</v>
      </c>
    </row>
    <row r="255" spans="1:5" x14ac:dyDescent="0.25">
      <c r="A255" s="30">
        <v>1.7</v>
      </c>
      <c r="B255" s="19">
        <v>3.4</v>
      </c>
      <c r="C255" s="19">
        <v>26.3</v>
      </c>
      <c r="D255" s="28">
        <v>3.84</v>
      </c>
      <c r="E255" s="19">
        <v>5.0500000000000007</v>
      </c>
    </row>
    <row r="256" spans="1:5" x14ac:dyDescent="0.25">
      <c r="A256" s="30">
        <v>1.77</v>
      </c>
      <c r="B256" s="19">
        <v>1.77</v>
      </c>
      <c r="C256" s="19">
        <v>21.5</v>
      </c>
      <c r="D256" s="28">
        <v>3.05</v>
      </c>
      <c r="E256" s="19">
        <v>10.199999999999999</v>
      </c>
    </row>
    <row r="257" spans="1:5" x14ac:dyDescent="0.25">
      <c r="A257" s="30">
        <v>1.8</v>
      </c>
      <c r="B257" s="19">
        <v>3.6</v>
      </c>
      <c r="C257" s="19">
        <v>23.5</v>
      </c>
      <c r="D257" s="28">
        <v>3.26</v>
      </c>
      <c r="E257" s="19">
        <v>9.4499999999999993</v>
      </c>
    </row>
    <row r="258" spans="1:5" x14ac:dyDescent="0.25">
      <c r="A258" s="30">
        <v>1.9</v>
      </c>
      <c r="B258" s="19">
        <v>5.6999999999999993</v>
      </c>
      <c r="C258" s="19">
        <v>25.6</v>
      </c>
      <c r="D258" s="28">
        <v>3.6850000000000001</v>
      </c>
      <c r="E258" s="19">
        <v>7.8000000000000007</v>
      </c>
    </row>
    <row r="259" spans="1:5" x14ac:dyDescent="0.25">
      <c r="A259" s="30">
        <v>1.91</v>
      </c>
      <c r="B259" s="19">
        <v>1.91</v>
      </c>
      <c r="C259" s="19">
        <v>23.4</v>
      </c>
      <c r="D259" s="28">
        <v>3.47</v>
      </c>
      <c r="E259" s="19">
        <v>6.1</v>
      </c>
    </row>
    <row r="260" spans="1:5" x14ac:dyDescent="0.25">
      <c r="A260" s="30">
        <v>2</v>
      </c>
      <c r="B260" s="19">
        <v>8</v>
      </c>
      <c r="C260" s="19">
        <v>24.1</v>
      </c>
      <c r="D260" s="28">
        <v>3.39</v>
      </c>
      <c r="E260" s="19">
        <v>7.4624999999999995</v>
      </c>
    </row>
    <row r="261" spans="1:5" x14ac:dyDescent="0.25">
      <c r="A261" s="30">
        <v>2.08</v>
      </c>
      <c r="B261" s="19">
        <v>2.08</v>
      </c>
      <c r="C261" s="19">
        <v>23</v>
      </c>
      <c r="D261" s="28">
        <v>3.54</v>
      </c>
      <c r="E261" s="19">
        <v>6.2</v>
      </c>
    </row>
    <row r="262" spans="1:5" x14ac:dyDescent="0.25">
      <c r="A262" s="30">
        <v>2.0895000000000001</v>
      </c>
      <c r="B262" s="19">
        <v>2.0895000000000001</v>
      </c>
      <c r="C262" s="19"/>
      <c r="D262" s="28"/>
      <c r="E262" s="19"/>
    </row>
    <row r="263" spans="1:5" x14ac:dyDescent="0.25">
      <c r="A263" s="30">
        <v>2.1</v>
      </c>
      <c r="B263" s="19">
        <v>4.2</v>
      </c>
      <c r="C263" s="19">
        <v>25.1</v>
      </c>
      <c r="D263" s="28">
        <v>3.4450000000000003</v>
      </c>
      <c r="E263" s="19">
        <v>5.8</v>
      </c>
    </row>
    <row r="264" spans="1:5" x14ac:dyDescent="0.25">
      <c r="A264" s="30">
        <v>2.12</v>
      </c>
      <c r="B264" s="19">
        <v>2.12</v>
      </c>
      <c r="C264" s="19">
        <v>25.6</v>
      </c>
      <c r="D264" s="28">
        <v>3.51</v>
      </c>
      <c r="E264" s="19">
        <v>6.8</v>
      </c>
    </row>
    <row r="265" spans="1:5" x14ac:dyDescent="0.25">
      <c r="A265" s="30">
        <v>2.14</v>
      </c>
      <c r="B265" s="19">
        <v>2.14</v>
      </c>
      <c r="C265" s="19">
        <v>28</v>
      </c>
      <c r="D265" s="28">
        <v>3.64</v>
      </c>
      <c r="E265" s="19">
        <v>7.7</v>
      </c>
    </row>
    <row r="266" spans="1:5" x14ac:dyDescent="0.25">
      <c r="A266" s="30">
        <v>2.16</v>
      </c>
      <c r="B266" s="19">
        <v>2.16</v>
      </c>
      <c r="C266" s="19">
        <v>24.8</v>
      </c>
      <c r="D266" s="28">
        <v>3.58</v>
      </c>
      <c r="E266" s="19">
        <v>4.42</v>
      </c>
    </row>
    <row r="267" spans="1:5" x14ac:dyDescent="0.25">
      <c r="A267" s="30">
        <v>2.1949999999999998</v>
      </c>
      <c r="B267" s="19">
        <v>2.1949999999999998</v>
      </c>
      <c r="C267" s="19">
        <v>24.6</v>
      </c>
      <c r="D267" s="28">
        <v>3.16</v>
      </c>
      <c r="E267" s="19">
        <v>8.1999999999999993</v>
      </c>
    </row>
    <row r="268" spans="1:5" x14ac:dyDescent="0.25">
      <c r="A268" s="30">
        <v>2.2000000000000002</v>
      </c>
      <c r="B268" s="19">
        <v>6.6000000000000005</v>
      </c>
      <c r="C268" s="19">
        <v>24.266666666666666</v>
      </c>
      <c r="D268" s="28">
        <v>3.4433333333333334</v>
      </c>
      <c r="E268" s="19">
        <v>6.9333333333333327</v>
      </c>
    </row>
    <row r="269" spans="1:5" x14ac:dyDescent="0.25">
      <c r="A269" s="30">
        <v>2.2999999999999998</v>
      </c>
      <c r="B269" s="19">
        <v>6.8999999999999995</v>
      </c>
      <c r="C269" s="19">
        <v>23.666666666666668</v>
      </c>
      <c r="D269" s="28">
        <v>3.276666666666666</v>
      </c>
      <c r="E269" s="19">
        <v>8.0666666666666664</v>
      </c>
    </row>
    <row r="270" spans="1:5" x14ac:dyDescent="0.25">
      <c r="A270" s="30">
        <v>2.3845000000000001</v>
      </c>
      <c r="B270" s="19">
        <v>2.3845000000000001</v>
      </c>
      <c r="C270" s="19">
        <v>23.8</v>
      </c>
      <c r="D270" s="28">
        <v>3.21</v>
      </c>
      <c r="E270" s="19">
        <v>8.1999999999999993</v>
      </c>
    </row>
    <row r="271" spans="1:5" x14ac:dyDescent="0.25">
      <c r="A271" s="30">
        <v>2.4</v>
      </c>
      <c r="B271" s="19">
        <v>9.6</v>
      </c>
      <c r="C271" s="19">
        <v>24.75</v>
      </c>
      <c r="D271" s="28">
        <v>3.4175</v>
      </c>
      <c r="E271" s="19">
        <v>7.1</v>
      </c>
    </row>
    <row r="272" spans="1:5" x14ac:dyDescent="0.25">
      <c r="A272" s="30">
        <v>2.41</v>
      </c>
      <c r="B272" s="19">
        <v>2.41</v>
      </c>
      <c r="C272" s="19">
        <v>24.2</v>
      </c>
      <c r="D272" s="28">
        <v>3.48</v>
      </c>
      <c r="E272" s="19">
        <v>5.0999999999999996</v>
      </c>
    </row>
    <row r="273" spans="1:5" x14ac:dyDescent="0.25">
      <c r="A273" s="30">
        <v>2.42</v>
      </c>
      <c r="B273" s="19">
        <v>2.42</v>
      </c>
      <c r="C273" s="19">
        <v>24.6</v>
      </c>
      <c r="D273" s="28">
        <v>3.47</v>
      </c>
      <c r="E273" s="19">
        <v>5.7</v>
      </c>
    </row>
    <row r="274" spans="1:5" x14ac:dyDescent="0.25">
      <c r="A274" s="30">
        <v>2.4300000000000002</v>
      </c>
      <c r="B274" s="19">
        <v>2.4300000000000002</v>
      </c>
      <c r="C274" s="19">
        <v>23</v>
      </c>
      <c r="D274" s="28">
        <v>3.54</v>
      </c>
      <c r="E274" s="19">
        <v>7.5</v>
      </c>
    </row>
    <row r="275" spans="1:5" x14ac:dyDescent="0.25">
      <c r="A275" s="30">
        <v>2.6</v>
      </c>
      <c r="B275" s="19">
        <v>7.8000000000000007</v>
      </c>
      <c r="C275" s="19">
        <v>24.599999999999998</v>
      </c>
      <c r="D275" s="28">
        <v>3.3400000000000003</v>
      </c>
      <c r="E275" s="19">
        <v>8.4333333333333318</v>
      </c>
    </row>
    <row r="276" spans="1:5" x14ac:dyDescent="0.25">
      <c r="A276" s="30">
        <v>2.62</v>
      </c>
      <c r="B276" s="19">
        <v>5.24</v>
      </c>
      <c r="C276" s="19">
        <v>29.3</v>
      </c>
      <c r="D276" s="28">
        <v>3.5249999999999999</v>
      </c>
      <c r="E276" s="19">
        <v>7.55</v>
      </c>
    </row>
    <row r="277" spans="1:5" x14ac:dyDescent="0.25">
      <c r="A277" s="30">
        <v>2.6315</v>
      </c>
      <c r="B277" s="19">
        <v>2.6315</v>
      </c>
      <c r="C277" s="19">
        <v>23.6</v>
      </c>
      <c r="D277" s="28">
        <v>3.22</v>
      </c>
      <c r="E277" s="19">
        <v>9.4</v>
      </c>
    </row>
    <row r="278" spans="1:5" x14ac:dyDescent="0.25">
      <c r="A278" s="30">
        <v>2.7</v>
      </c>
      <c r="B278" s="19">
        <v>5.4</v>
      </c>
      <c r="C278" s="19">
        <v>25.1</v>
      </c>
      <c r="D278" s="28">
        <v>3.4249999999999998</v>
      </c>
      <c r="E278" s="19">
        <v>8.85</v>
      </c>
    </row>
    <row r="279" spans="1:5" x14ac:dyDescent="0.25">
      <c r="A279" s="30">
        <v>2.7635000000000001</v>
      </c>
      <c r="B279" s="19">
        <v>2.7635000000000001</v>
      </c>
      <c r="C279" s="19">
        <v>20.3</v>
      </c>
      <c r="D279" s="28">
        <v>2.77</v>
      </c>
      <c r="E279" s="19">
        <v>15.4</v>
      </c>
    </row>
    <row r="280" spans="1:5" x14ac:dyDescent="0.25">
      <c r="A280" s="30">
        <v>2.7965</v>
      </c>
      <c r="B280" s="19">
        <v>2.7965</v>
      </c>
      <c r="C280" s="19">
        <v>24.5</v>
      </c>
      <c r="D280" s="28">
        <v>3.02</v>
      </c>
      <c r="E280" s="19">
        <v>12.5</v>
      </c>
    </row>
    <row r="281" spans="1:5" x14ac:dyDescent="0.25">
      <c r="A281" s="30">
        <v>2.8</v>
      </c>
      <c r="B281" s="19">
        <v>14</v>
      </c>
      <c r="C281" s="19">
        <v>27.04</v>
      </c>
      <c r="D281" s="28">
        <v>3.65</v>
      </c>
      <c r="E281" s="19">
        <v>6.903999999999999</v>
      </c>
    </row>
    <row r="282" spans="1:5" x14ac:dyDescent="0.25">
      <c r="A282" s="30">
        <v>2.85</v>
      </c>
      <c r="B282" s="19">
        <v>2.85</v>
      </c>
      <c r="C282" s="19">
        <v>25.6</v>
      </c>
      <c r="D282" s="28">
        <v>3.51</v>
      </c>
      <c r="E282" s="19">
        <v>6.8</v>
      </c>
    </row>
    <row r="283" spans="1:5" x14ac:dyDescent="0.25">
      <c r="A283" s="30">
        <v>2.86</v>
      </c>
      <c r="B283" s="19">
        <v>2.86</v>
      </c>
      <c r="C283" s="19">
        <v>25.8</v>
      </c>
      <c r="D283" s="28">
        <v>3.41</v>
      </c>
      <c r="E283" s="19">
        <v>7.2</v>
      </c>
    </row>
    <row r="284" spans="1:5" x14ac:dyDescent="0.25">
      <c r="A284" s="30">
        <v>2.8975</v>
      </c>
      <c r="B284" s="19">
        <v>2.8975</v>
      </c>
      <c r="C284" s="19">
        <v>23</v>
      </c>
      <c r="D284" s="28">
        <v>3.21</v>
      </c>
      <c r="E284" s="19">
        <v>7.9</v>
      </c>
    </row>
    <row r="285" spans="1:5" x14ac:dyDescent="0.25">
      <c r="A285" s="30">
        <v>2.9</v>
      </c>
      <c r="B285" s="19">
        <v>8.6999999999999993</v>
      </c>
      <c r="C285" s="19">
        <v>26.133333333333336</v>
      </c>
      <c r="D285" s="28">
        <v>3.3699999999999997</v>
      </c>
      <c r="E285" s="19">
        <v>8</v>
      </c>
    </row>
    <row r="286" spans="1:5" x14ac:dyDescent="0.25">
      <c r="A286" s="30">
        <v>2.9039999999999999</v>
      </c>
      <c r="B286" s="19">
        <v>2.9039999999999999</v>
      </c>
      <c r="C286" s="19">
        <v>22.6</v>
      </c>
      <c r="D286" s="28">
        <v>3.08</v>
      </c>
      <c r="E286" s="19">
        <v>8.8000000000000007</v>
      </c>
    </row>
    <row r="287" spans="1:5" x14ac:dyDescent="0.25">
      <c r="A287" s="30">
        <v>2.96</v>
      </c>
      <c r="B287" s="19">
        <v>2.96</v>
      </c>
      <c r="C287" s="19">
        <v>25</v>
      </c>
      <c r="D287" s="28">
        <v>3.55</v>
      </c>
      <c r="E287" s="19">
        <v>6.7</v>
      </c>
    </row>
    <row r="288" spans="1:5" x14ac:dyDescent="0.25">
      <c r="A288" s="30">
        <v>2.9655</v>
      </c>
      <c r="B288" s="19">
        <v>2.9655</v>
      </c>
      <c r="C288" s="19">
        <v>21.4</v>
      </c>
      <c r="D288" s="28">
        <v>3.06</v>
      </c>
      <c r="E288" s="19">
        <v>11.6</v>
      </c>
    </row>
    <row r="289" spans="1:5" x14ac:dyDescent="0.25">
      <c r="A289" s="30">
        <v>2.9664999999999999</v>
      </c>
      <c r="B289" s="19">
        <v>2.9664999999999999</v>
      </c>
      <c r="C289" s="19"/>
      <c r="D289" s="28"/>
      <c r="E289" s="19"/>
    </row>
    <row r="290" spans="1:5" x14ac:dyDescent="0.25">
      <c r="A290" s="30">
        <v>2.97</v>
      </c>
      <c r="B290" s="19">
        <v>2.97</v>
      </c>
      <c r="C290" s="19">
        <v>23</v>
      </c>
      <c r="D290" s="28">
        <v>3.08</v>
      </c>
      <c r="E290" s="19">
        <v>9.3000000000000007</v>
      </c>
    </row>
    <row r="291" spans="1:5" x14ac:dyDescent="0.25">
      <c r="A291" s="30">
        <v>3</v>
      </c>
      <c r="B291" s="19">
        <v>6</v>
      </c>
      <c r="C291" s="19">
        <v>24.2</v>
      </c>
      <c r="D291" s="28">
        <v>3.645</v>
      </c>
      <c r="E291" s="19">
        <v>6.15</v>
      </c>
    </row>
    <row r="292" spans="1:5" x14ac:dyDescent="0.25">
      <c r="A292" s="30">
        <v>3.01</v>
      </c>
      <c r="B292" s="19">
        <v>6.02</v>
      </c>
      <c r="C292" s="19">
        <v>24</v>
      </c>
      <c r="D292" s="28">
        <v>3.4550000000000001</v>
      </c>
      <c r="E292" s="19">
        <v>5.7750000000000004</v>
      </c>
    </row>
    <row r="293" spans="1:5" x14ac:dyDescent="0.25">
      <c r="A293" s="30">
        <v>3.0139999999999998</v>
      </c>
      <c r="B293" s="19">
        <v>3.0139999999999998</v>
      </c>
      <c r="C293" s="19">
        <v>21.9</v>
      </c>
      <c r="D293" s="28">
        <v>2.85</v>
      </c>
      <c r="E293" s="19">
        <v>15.3</v>
      </c>
    </row>
    <row r="294" spans="1:5" x14ac:dyDescent="0.25">
      <c r="A294" s="30">
        <v>3.02</v>
      </c>
      <c r="B294" s="19">
        <v>3.02</v>
      </c>
      <c r="C294" s="19">
        <v>25.4</v>
      </c>
      <c r="D294" s="28">
        <v>3.52</v>
      </c>
      <c r="E294" s="19">
        <v>5.0999999999999996</v>
      </c>
    </row>
    <row r="295" spans="1:5" x14ac:dyDescent="0.25">
      <c r="A295" s="30">
        <v>3.03</v>
      </c>
      <c r="B295" s="19">
        <v>3.03</v>
      </c>
      <c r="C295" s="19">
        <v>27.4</v>
      </c>
      <c r="D295" s="28">
        <v>3.57</v>
      </c>
      <c r="E295" s="19">
        <v>7.4</v>
      </c>
    </row>
    <row r="296" spans="1:5" x14ac:dyDescent="0.25">
      <c r="A296" s="30">
        <v>3.08</v>
      </c>
      <c r="B296" s="19">
        <v>3.08</v>
      </c>
      <c r="C296" s="19">
        <v>24.4</v>
      </c>
      <c r="D296" s="28">
        <v>3.52</v>
      </c>
      <c r="E296" s="19">
        <v>7.1</v>
      </c>
    </row>
    <row r="297" spans="1:5" x14ac:dyDescent="0.25">
      <c r="A297" s="30">
        <v>3.15</v>
      </c>
      <c r="B297" s="19">
        <v>3.15</v>
      </c>
      <c r="C297" s="19">
        <v>24.4</v>
      </c>
      <c r="D297" s="28">
        <v>3.45</v>
      </c>
      <c r="E297" s="19">
        <v>5.85</v>
      </c>
    </row>
    <row r="298" spans="1:5" x14ac:dyDescent="0.25">
      <c r="A298" s="30">
        <v>3.2</v>
      </c>
      <c r="B298" s="19">
        <v>3.2</v>
      </c>
      <c r="C298" s="19">
        <v>23.2</v>
      </c>
      <c r="D298" s="28">
        <v>3.29</v>
      </c>
      <c r="E298" s="19">
        <v>8.1</v>
      </c>
    </row>
    <row r="299" spans="1:5" x14ac:dyDescent="0.25">
      <c r="A299" s="30">
        <v>3.28</v>
      </c>
      <c r="B299" s="19">
        <v>3.28</v>
      </c>
      <c r="C299" s="19">
        <v>22.2</v>
      </c>
      <c r="D299" s="28">
        <v>3.2250000000000001</v>
      </c>
      <c r="E299" s="19">
        <v>8.8500000000000014</v>
      </c>
    </row>
    <row r="300" spans="1:5" x14ac:dyDescent="0.25">
      <c r="A300" s="30">
        <v>3.3</v>
      </c>
      <c r="B300" s="19">
        <v>9.8999999999999986</v>
      </c>
      <c r="C300" s="19">
        <v>25.066666666666666</v>
      </c>
      <c r="D300" s="28">
        <v>3.4066666666666667</v>
      </c>
      <c r="E300" s="19">
        <v>7.4466666666666663</v>
      </c>
    </row>
    <row r="301" spans="1:5" x14ac:dyDescent="0.25">
      <c r="A301" s="30">
        <v>3.3605</v>
      </c>
      <c r="B301" s="19">
        <v>3.3605</v>
      </c>
      <c r="C301" s="19">
        <v>23.6</v>
      </c>
      <c r="D301" s="28">
        <v>3.01</v>
      </c>
      <c r="E301" s="19">
        <v>10.1</v>
      </c>
    </row>
    <row r="302" spans="1:5" x14ac:dyDescent="0.25">
      <c r="A302" s="30">
        <v>3.37</v>
      </c>
      <c r="B302" s="19">
        <v>3.37</v>
      </c>
      <c r="C302" s="19">
        <v>26.2</v>
      </c>
      <c r="D302" s="28">
        <v>3.62</v>
      </c>
      <c r="E302" s="19">
        <v>5</v>
      </c>
    </row>
    <row r="303" spans="1:5" x14ac:dyDescent="0.25">
      <c r="A303" s="30">
        <v>3.4</v>
      </c>
      <c r="B303" s="19">
        <v>6.8</v>
      </c>
      <c r="C303" s="19">
        <v>32.799999999999997</v>
      </c>
      <c r="D303" s="28">
        <v>3.3449999999999998</v>
      </c>
      <c r="E303" s="19">
        <v>6.95</v>
      </c>
    </row>
    <row r="304" spans="1:5" x14ac:dyDescent="0.25">
      <c r="A304" s="30">
        <v>3.48</v>
      </c>
      <c r="B304" s="19">
        <v>3.48</v>
      </c>
      <c r="C304" s="19">
        <v>27.6</v>
      </c>
      <c r="D304" s="28">
        <v>3.48</v>
      </c>
      <c r="E304" s="19">
        <v>9</v>
      </c>
    </row>
    <row r="305" spans="1:5" x14ac:dyDescent="0.25">
      <c r="A305" s="30">
        <v>3.5</v>
      </c>
      <c r="B305" s="19">
        <v>3.5</v>
      </c>
      <c r="C305" s="19">
        <v>25</v>
      </c>
      <c r="D305" s="28"/>
      <c r="E305" s="19"/>
    </row>
    <row r="306" spans="1:5" x14ac:dyDescent="0.25">
      <c r="A306" s="30">
        <v>3.53</v>
      </c>
      <c r="B306" s="19">
        <v>3.53</v>
      </c>
      <c r="C306" s="19">
        <v>24.8</v>
      </c>
      <c r="D306" s="28">
        <v>3.58</v>
      </c>
      <c r="E306" s="19">
        <v>4.42</v>
      </c>
    </row>
    <row r="307" spans="1:5" x14ac:dyDescent="0.25">
      <c r="A307" s="30">
        <v>3.6</v>
      </c>
      <c r="B307" s="19">
        <v>10.8</v>
      </c>
      <c r="C307" s="19">
        <v>24.5</v>
      </c>
      <c r="D307" s="28">
        <v>3.2533333333333334</v>
      </c>
      <c r="E307" s="19">
        <v>7.8666666666666671</v>
      </c>
    </row>
    <row r="308" spans="1:5" x14ac:dyDescent="0.25">
      <c r="A308" s="30">
        <v>3.61</v>
      </c>
      <c r="B308" s="19">
        <v>3.61</v>
      </c>
      <c r="C308" s="19">
        <v>23.4</v>
      </c>
      <c r="D308" s="28">
        <v>3.15</v>
      </c>
      <c r="E308" s="19">
        <v>10.199999999999999</v>
      </c>
    </row>
    <row r="309" spans="1:5" x14ac:dyDescent="0.25">
      <c r="A309" s="30">
        <v>3.63</v>
      </c>
      <c r="B309" s="19">
        <v>3.63</v>
      </c>
      <c r="C309" s="19">
        <v>24</v>
      </c>
      <c r="D309" s="28">
        <v>3.25</v>
      </c>
      <c r="E309" s="19">
        <v>8.8000000000000007</v>
      </c>
    </row>
    <row r="310" spans="1:5" x14ac:dyDescent="0.25">
      <c r="A310" s="30">
        <v>3.649</v>
      </c>
      <c r="B310" s="19">
        <v>3.649</v>
      </c>
      <c r="C310" s="19">
        <v>24.6</v>
      </c>
      <c r="D310" s="28">
        <v>3.16</v>
      </c>
      <c r="E310" s="19">
        <v>8.1999999999999993</v>
      </c>
    </row>
    <row r="311" spans="1:5" x14ac:dyDescent="0.25">
      <c r="A311" s="30">
        <v>3.69</v>
      </c>
      <c r="B311" s="19">
        <v>3.69</v>
      </c>
      <c r="C311" s="19">
        <v>22.6</v>
      </c>
      <c r="D311" s="28">
        <v>3.38</v>
      </c>
      <c r="E311" s="19">
        <v>7.1</v>
      </c>
    </row>
    <row r="312" spans="1:5" x14ac:dyDescent="0.25">
      <c r="A312" s="30">
        <v>3.7</v>
      </c>
      <c r="B312" s="19">
        <v>11.100000000000001</v>
      </c>
      <c r="C312" s="19">
        <v>24.866666666666664</v>
      </c>
      <c r="D312" s="28">
        <v>3.2566666666666664</v>
      </c>
      <c r="E312" s="19">
        <v>11.699999999999998</v>
      </c>
    </row>
    <row r="313" spans="1:5" x14ac:dyDescent="0.25">
      <c r="A313" s="30">
        <v>3.7545000000000002</v>
      </c>
      <c r="B313" s="19">
        <v>7.5090000000000003</v>
      </c>
      <c r="C313" s="19">
        <v>23.75</v>
      </c>
      <c r="D313" s="28">
        <v>3.125</v>
      </c>
      <c r="E313" s="19">
        <v>10.7</v>
      </c>
    </row>
    <row r="314" spans="1:5" x14ac:dyDescent="0.25">
      <c r="A314" s="30">
        <v>3.8</v>
      </c>
      <c r="B314" s="19">
        <v>15.2</v>
      </c>
      <c r="C314" s="19">
        <v>27.3</v>
      </c>
      <c r="D314" s="28">
        <v>3.6949999999999998</v>
      </c>
      <c r="E314" s="19">
        <v>6.8</v>
      </c>
    </row>
    <row r="315" spans="1:5" x14ac:dyDescent="0.25">
      <c r="A315" s="30">
        <v>3.9</v>
      </c>
      <c r="B315" s="19">
        <v>35.099999999999994</v>
      </c>
      <c r="C315" s="19">
        <v>26.25</v>
      </c>
      <c r="D315" s="28">
        <v>3.8612500000000001</v>
      </c>
      <c r="E315" s="19">
        <v>8.26</v>
      </c>
    </row>
    <row r="316" spans="1:5" x14ac:dyDescent="0.25">
      <c r="A316" s="30">
        <v>3.91</v>
      </c>
      <c r="B316" s="19">
        <v>3.91</v>
      </c>
      <c r="C316" s="19">
        <v>27</v>
      </c>
      <c r="D316" s="28">
        <v>3.38</v>
      </c>
      <c r="E316" s="19">
        <v>9.5</v>
      </c>
    </row>
    <row r="317" spans="1:5" x14ac:dyDescent="0.25">
      <c r="A317" s="30">
        <v>3.94</v>
      </c>
      <c r="B317" s="19">
        <v>3.94</v>
      </c>
      <c r="C317" s="19">
        <v>21</v>
      </c>
      <c r="D317" s="28">
        <v>3.16</v>
      </c>
      <c r="E317" s="19">
        <v>7</v>
      </c>
    </row>
    <row r="318" spans="1:5" x14ac:dyDescent="0.25">
      <c r="A318" s="30">
        <v>3.95</v>
      </c>
      <c r="B318" s="19">
        <v>3.95</v>
      </c>
      <c r="C318" s="19">
        <v>23.6</v>
      </c>
      <c r="D318" s="28">
        <v>3.24</v>
      </c>
      <c r="E318" s="19">
        <v>8.6</v>
      </c>
    </row>
    <row r="319" spans="1:5" x14ac:dyDescent="0.25">
      <c r="A319" s="30">
        <v>3.96</v>
      </c>
      <c r="B319" s="19">
        <v>3.96</v>
      </c>
      <c r="C319" s="19">
        <v>20.2</v>
      </c>
      <c r="D319" s="28">
        <v>3.24</v>
      </c>
      <c r="E319" s="19">
        <v>7.95</v>
      </c>
    </row>
    <row r="320" spans="1:5" x14ac:dyDescent="0.25">
      <c r="A320" s="30">
        <v>3.98</v>
      </c>
      <c r="B320" s="19">
        <v>3.98</v>
      </c>
      <c r="C320" s="19">
        <v>24.4</v>
      </c>
      <c r="D320" s="28">
        <v>3.6</v>
      </c>
      <c r="E320" s="19">
        <v>8.6</v>
      </c>
    </row>
    <row r="321" spans="1:5" x14ac:dyDescent="0.25">
      <c r="A321" s="30">
        <v>4</v>
      </c>
      <c r="B321" s="19">
        <v>12</v>
      </c>
      <c r="C321" s="19">
        <v>31.599999999999998</v>
      </c>
      <c r="D321" s="28">
        <v>3.42</v>
      </c>
      <c r="E321" s="19">
        <v>8.4</v>
      </c>
    </row>
    <row r="322" spans="1:5" x14ac:dyDescent="0.25">
      <c r="A322" s="30">
        <v>4.01</v>
      </c>
      <c r="B322" s="19">
        <v>8.02</v>
      </c>
      <c r="C322" s="19">
        <v>26</v>
      </c>
      <c r="D322" s="28">
        <v>3.55</v>
      </c>
      <c r="E322" s="19">
        <v>6.15</v>
      </c>
    </row>
    <row r="323" spans="1:5" x14ac:dyDescent="0.25">
      <c r="A323" s="30">
        <v>4.03</v>
      </c>
      <c r="B323" s="19">
        <v>4.03</v>
      </c>
      <c r="C323" s="19">
        <v>23.8</v>
      </c>
      <c r="D323" s="28">
        <v>3.24</v>
      </c>
      <c r="E323" s="19">
        <v>8.6999999999999993</v>
      </c>
    </row>
    <row r="324" spans="1:5" x14ac:dyDescent="0.25">
      <c r="A324" s="30">
        <v>4.032</v>
      </c>
      <c r="B324" s="19">
        <v>4.032</v>
      </c>
      <c r="C324" s="19"/>
      <c r="D324" s="28"/>
      <c r="E324" s="19"/>
    </row>
    <row r="325" spans="1:5" x14ac:dyDescent="0.25">
      <c r="A325" s="30">
        <v>4.0545</v>
      </c>
      <c r="B325" s="19">
        <v>4.0545</v>
      </c>
      <c r="C325" s="19">
        <v>22.2</v>
      </c>
      <c r="D325" s="28">
        <v>3.06</v>
      </c>
      <c r="E325" s="19">
        <v>11</v>
      </c>
    </row>
    <row r="326" spans="1:5" x14ac:dyDescent="0.25">
      <c r="A326" s="30">
        <v>4.07</v>
      </c>
      <c r="B326" s="19">
        <v>4.07</v>
      </c>
      <c r="C326" s="19">
        <v>22.2</v>
      </c>
      <c r="D326" s="28">
        <v>3.34</v>
      </c>
      <c r="E326" s="19">
        <v>8.5</v>
      </c>
    </row>
    <row r="327" spans="1:5" x14ac:dyDescent="0.25">
      <c r="A327" s="30">
        <v>4.0999999999999996</v>
      </c>
      <c r="B327" s="19">
        <v>12.299999999999999</v>
      </c>
      <c r="C327" s="19">
        <v>24.733333333333334</v>
      </c>
      <c r="D327" s="28">
        <v>3.3633333333333333</v>
      </c>
      <c r="E327" s="19">
        <v>7.5</v>
      </c>
    </row>
    <row r="328" spans="1:5" x14ac:dyDescent="0.25">
      <c r="A328" s="30">
        <v>4.16</v>
      </c>
      <c r="B328" s="19">
        <v>4.16</v>
      </c>
      <c r="C328" s="19">
        <v>23</v>
      </c>
      <c r="D328" s="28">
        <v>2.96</v>
      </c>
      <c r="E328" s="19">
        <v>13.7</v>
      </c>
    </row>
    <row r="329" spans="1:5" x14ac:dyDescent="0.25">
      <c r="A329" s="30">
        <v>4.17</v>
      </c>
      <c r="B329" s="19">
        <v>4.17</v>
      </c>
      <c r="C329" s="19">
        <v>24.2</v>
      </c>
      <c r="D329" s="28">
        <v>3.54</v>
      </c>
      <c r="E329" s="19">
        <v>5.19</v>
      </c>
    </row>
    <row r="330" spans="1:5" x14ac:dyDescent="0.25">
      <c r="A330" s="30">
        <v>4.2</v>
      </c>
      <c r="B330" s="19">
        <v>8.4</v>
      </c>
      <c r="C330" s="19">
        <v>23.299999999999997</v>
      </c>
      <c r="D330" s="28">
        <v>3.26</v>
      </c>
      <c r="E330" s="19">
        <v>9.1999999999999993</v>
      </c>
    </row>
    <row r="331" spans="1:5" x14ac:dyDescent="0.25">
      <c r="A331" s="30">
        <v>4.21</v>
      </c>
      <c r="B331" s="19">
        <v>4.21</v>
      </c>
      <c r="C331" s="19">
        <v>28</v>
      </c>
      <c r="D331" s="28">
        <v>3.78</v>
      </c>
      <c r="E331" s="19">
        <v>7.5</v>
      </c>
    </row>
    <row r="332" spans="1:5" x14ac:dyDescent="0.25">
      <c r="A332" s="30">
        <v>4.2300000000000004</v>
      </c>
      <c r="B332" s="19">
        <v>4.2300000000000004</v>
      </c>
      <c r="C332" s="19">
        <v>24.2</v>
      </c>
      <c r="D332" s="28">
        <v>3.58</v>
      </c>
      <c r="E332" s="19">
        <v>5.13</v>
      </c>
    </row>
    <row r="333" spans="1:5" x14ac:dyDescent="0.25">
      <c r="A333" s="30">
        <v>4.2694999999999999</v>
      </c>
      <c r="B333" s="19">
        <v>4.2694999999999999</v>
      </c>
      <c r="C333" s="19">
        <v>24.6</v>
      </c>
      <c r="D333" s="28">
        <v>3.16</v>
      </c>
      <c r="E333" s="19">
        <v>8.1999999999999993</v>
      </c>
    </row>
    <row r="334" spans="1:5" x14ac:dyDescent="0.25">
      <c r="A334" s="30">
        <v>4.2699999999999996</v>
      </c>
      <c r="B334" s="19">
        <v>4.2699999999999996</v>
      </c>
      <c r="C334" s="19">
        <v>24.4</v>
      </c>
      <c r="D334" s="28">
        <v>3.39</v>
      </c>
      <c r="E334" s="19">
        <v>7.95</v>
      </c>
    </row>
    <row r="335" spans="1:5" x14ac:dyDescent="0.25">
      <c r="A335" s="30">
        <v>4.2885</v>
      </c>
      <c r="B335" s="19">
        <v>4.2885</v>
      </c>
      <c r="C335" s="19">
        <v>21.4</v>
      </c>
      <c r="D335" s="28">
        <v>3.17</v>
      </c>
      <c r="E335" s="19">
        <v>9.3000000000000007</v>
      </c>
    </row>
    <row r="336" spans="1:5" x14ac:dyDescent="0.25">
      <c r="A336" s="30">
        <v>4.3</v>
      </c>
      <c r="B336" s="19">
        <v>17.2</v>
      </c>
      <c r="C336" s="19">
        <v>23</v>
      </c>
      <c r="D336" s="28">
        <v>3.4899999999999998</v>
      </c>
      <c r="E336" s="19">
        <v>7.0333333333333341</v>
      </c>
    </row>
    <row r="337" spans="1:5" x14ac:dyDescent="0.25">
      <c r="A337" s="30">
        <v>4.34</v>
      </c>
      <c r="B337" s="19">
        <v>8.68</v>
      </c>
      <c r="C337" s="19">
        <v>22.8</v>
      </c>
      <c r="D337" s="28">
        <v>3.2149999999999999</v>
      </c>
      <c r="E337" s="19">
        <v>9</v>
      </c>
    </row>
    <row r="338" spans="1:5" x14ac:dyDescent="0.25">
      <c r="A338" s="30">
        <v>4.3734999999999999</v>
      </c>
      <c r="B338" s="19">
        <v>4.3734999999999999</v>
      </c>
      <c r="C338" s="19">
        <v>25.2</v>
      </c>
      <c r="D338" s="28">
        <v>3.3</v>
      </c>
      <c r="E338" s="19">
        <v>10.5</v>
      </c>
    </row>
    <row r="339" spans="1:5" x14ac:dyDescent="0.25">
      <c r="A339" s="30">
        <v>4.4000000000000004</v>
      </c>
      <c r="B339" s="19">
        <v>17.600000000000001</v>
      </c>
      <c r="C339" s="19">
        <v>23.5</v>
      </c>
      <c r="D339" s="28">
        <v>3.4874999999999998</v>
      </c>
      <c r="E339" s="19">
        <v>6.5750000000000011</v>
      </c>
    </row>
    <row r="340" spans="1:5" x14ac:dyDescent="0.25">
      <c r="A340" s="30">
        <v>4.4400000000000004</v>
      </c>
      <c r="B340" s="19">
        <v>4.4400000000000004</v>
      </c>
      <c r="C340" s="19">
        <v>21.5</v>
      </c>
      <c r="D340" s="28">
        <v>3.15</v>
      </c>
      <c r="E340" s="19">
        <v>7.9</v>
      </c>
    </row>
    <row r="341" spans="1:5" x14ac:dyDescent="0.25">
      <c r="A341" s="30">
        <v>4.45</v>
      </c>
      <c r="B341" s="19">
        <v>4.45</v>
      </c>
      <c r="C341" s="19">
        <v>23</v>
      </c>
      <c r="D341" s="28">
        <v>3.38</v>
      </c>
      <c r="E341" s="19">
        <v>6.6</v>
      </c>
    </row>
    <row r="342" spans="1:5" x14ac:dyDescent="0.25">
      <c r="A342" s="30">
        <v>4.5</v>
      </c>
      <c r="B342" s="19">
        <v>18</v>
      </c>
      <c r="C342" s="19">
        <v>25.574999999999999</v>
      </c>
      <c r="D342" s="28">
        <v>3.5874999999999999</v>
      </c>
      <c r="E342" s="19">
        <v>6.9749999999999996</v>
      </c>
    </row>
    <row r="343" spans="1:5" x14ac:dyDescent="0.25">
      <c r="A343" s="30">
        <v>4.51</v>
      </c>
      <c r="B343" s="19">
        <v>4.51</v>
      </c>
      <c r="C343" s="19">
        <v>23</v>
      </c>
      <c r="D343" s="28">
        <v>3.39</v>
      </c>
      <c r="E343" s="19">
        <v>9.1999999999999993</v>
      </c>
    </row>
    <row r="344" spans="1:5" x14ac:dyDescent="0.25">
      <c r="A344" s="30">
        <v>4.5199999999999996</v>
      </c>
      <c r="B344" s="19">
        <v>4.5199999999999996</v>
      </c>
      <c r="C344" s="19">
        <v>22.4</v>
      </c>
      <c r="D344" s="28">
        <v>3.36</v>
      </c>
      <c r="E344" s="19">
        <v>5.92</v>
      </c>
    </row>
    <row r="345" spans="1:5" x14ac:dyDescent="0.25">
      <c r="A345" s="30">
        <v>4.5815000000000001</v>
      </c>
      <c r="B345" s="19">
        <v>4.5815000000000001</v>
      </c>
      <c r="C345" s="19">
        <v>21.4</v>
      </c>
      <c r="D345" s="28">
        <v>3.06</v>
      </c>
      <c r="E345" s="19">
        <v>11.6</v>
      </c>
    </row>
    <row r="346" spans="1:5" x14ac:dyDescent="0.25">
      <c r="A346" s="30">
        <v>4.5999999999999996</v>
      </c>
      <c r="B346" s="19">
        <v>18.399999999999999</v>
      </c>
      <c r="C346" s="19">
        <v>31.85</v>
      </c>
      <c r="D346" s="28">
        <v>3.5525000000000002</v>
      </c>
      <c r="E346" s="19">
        <v>8.1999999999999993</v>
      </c>
    </row>
    <row r="347" spans="1:5" x14ac:dyDescent="0.25">
      <c r="A347" s="30">
        <v>4.6399999999999997</v>
      </c>
      <c r="B347" s="19">
        <v>4.6399999999999997</v>
      </c>
      <c r="C347" s="19">
        <v>21.4</v>
      </c>
      <c r="D347" s="28">
        <v>3.24</v>
      </c>
      <c r="E347" s="19">
        <v>8.6999999999999993</v>
      </c>
    </row>
    <row r="348" spans="1:5" x14ac:dyDescent="0.25">
      <c r="A348" s="30">
        <v>4.7</v>
      </c>
      <c r="B348" s="19">
        <v>14.100000000000001</v>
      </c>
      <c r="C348" s="19">
        <v>24.333333333333332</v>
      </c>
      <c r="D348" s="28">
        <v>3.5650000000000004</v>
      </c>
      <c r="E348" s="19">
        <v>5.6</v>
      </c>
    </row>
    <row r="349" spans="1:5" x14ac:dyDescent="0.25">
      <c r="A349" s="30">
        <v>4.76</v>
      </c>
      <c r="B349" s="19">
        <v>4.76</v>
      </c>
      <c r="C349" s="19">
        <v>22.9</v>
      </c>
      <c r="D349" s="28">
        <v>3.31</v>
      </c>
      <c r="E349" s="19">
        <v>6.7</v>
      </c>
    </row>
    <row r="350" spans="1:5" x14ac:dyDescent="0.25">
      <c r="A350" s="30">
        <v>4.8</v>
      </c>
      <c r="B350" s="19">
        <v>9.6</v>
      </c>
      <c r="C350" s="19">
        <v>24.299999999999997</v>
      </c>
      <c r="D350" s="28">
        <v>3.5449999999999999</v>
      </c>
      <c r="E350" s="19">
        <v>7.0500000000000007</v>
      </c>
    </row>
    <row r="351" spans="1:5" x14ac:dyDescent="0.25">
      <c r="A351" s="30">
        <v>4.84</v>
      </c>
      <c r="B351" s="19">
        <v>4.84</v>
      </c>
      <c r="C351" s="19">
        <v>27.4</v>
      </c>
      <c r="D351" s="28">
        <v>3.57</v>
      </c>
      <c r="E351" s="19">
        <v>7.4</v>
      </c>
    </row>
    <row r="352" spans="1:5" x14ac:dyDescent="0.25">
      <c r="A352" s="30">
        <v>4.88</v>
      </c>
      <c r="B352" s="19">
        <v>4.88</v>
      </c>
      <c r="C352" s="19">
        <v>23.4</v>
      </c>
      <c r="D352" s="28">
        <v>3.3</v>
      </c>
      <c r="E352" s="19">
        <v>7</v>
      </c>
    </row>
    <row r="353" spans="1:5" x14ac:dyDescent="0.25">
      <c r="A353" s="30">
        <v>4.9000000000000004</v>
      </c>
      <c r="B353" s="19">
        <v>24.5</v>
      </c>
      <c r="C353" s="19">
        <v>22.759999999999998</v>
      </c>
      <c r="D353" s="28">
        <v>3.4039999999999999</v>
      </c>
      <c r="E353" s="19">
        <v>8.120000000000001</v>
      </c>
    </row>
    <row r="354" spans="1:5" x14ac:dyDescent="0.25">
      <c r="A354" s="30">
        <v>5</v>
      </c>
      <c r="B354" s="19">
        <v>15</v>
      </c>
      <c r="C354" s="19">
        <v>24.066666666666666</v>
      </c>
      <c r="D354" s="28">
        <v>3.4766666666666666</v>
      </c>
      <c r="E354" s="19">
        <v>7.3666666666666671</v>
      </c>
    </row>
    <row r="355" spans="1:5" x14ac:dyDescent="0.25">
      <c r="A355" s="30">
        <v>5.01</v>
      </c>
      <c r="B355" s="19">
        <v>10.02</v>
      </c>
      <c r="C355" s="19">
        <v>24.7</v>
      </c>
      <c r="D355" s="28">
        <v>3.5599999999999996</v>
      </c>
      <c r="E355" s="19">
        <v>5.2050000000000001</v>
      </c>
    </row>
    <row r="356" spans="1:5" x14ac:dyDescent="0.25">
      <c r="A356" s="30">
        <v>5.0324999999999998</v>
      </c>
      <c r="B356" s="19">
        <v>5.0324999999999998</v>
      </c>
      <c r="C356" s="19">
        <v>24.2</v>
      </c>
      <c r="D356" s="28">
        <v>3.22</v>
      </c>
      <c r="E356" s="19">
        <v>8.3000000000000007</v>
      </c>
    </row>
    <row r="357" spans="1:5" x14ac:dyDescent="0.25">
      <c r="A357" s="30">
        <v>5.0999999999999996</v>
      </c>
      <c r="B357" s="19">
        <v>25.5</v>
      </c>
      <c r="C357" s="19">
        <v>24.68</v>
      </c>
      <c r="D357" s="28">
        <v>3.3820000000000001</v>
      </c>
      <c r="E357" s="19">
        <v>8.14</v>
      </c>
    </row>
    <row r="358" spans="1:5" x14ac:dyDescent="0.25">
      <c r="A358" s="30">
        <v>5.2</v>
      </c>
      <c r="B358" s="19">
        <v>26</v>
      </c>
      <c r="C358" s="19">
        <v>24.44</v>
      </c>
      <c r="D358" s="28">
        <v>3.47</v>
      </c>
      <c r="E358" s="19">
        <v>8.5400000000000009</v>
      </c>
    </row>
    <row r="359" spans="1:5" x14ac:dyDescent="0.25">
      <c r="A359" s="30">
        <v>5.21</v>
      </c>
      <c r="B359" s="19">
        <v>5.21</v>
      </c>
      <c r="C359" s="19">
        <v>23.4</v>
      </c>
      <c r="D359" s="28">
        <v>3.47</v>
      </c>
      <c r="E359" s="19">
        <v>6.1</v>
      </c>
    </row>
    <row r="360" spans="1:5" x14ac:dyDescent="0.25">
      <c r="A360" s="30">
        <v>5.26</v>
      </c>
      <c r="B360" s="19">
        <v>5.26</v>
      </c>
      <c r="C360" s="19">
        <v>23.2</v>
      </c>
      <c r="D360" s="28">
        <v>3.65</v>
      </c>
      <c r="E360" s="19">
        <v>6.4</v>
      </c>
    </row>
    <row r="361" spans="1:5" x14ac:dyDescent="0.25">
      <c r="A361" s="30">
        <v>5.28</v>
      </c>
      <c r="B361" s="19">
        <v>5.28</v>
      </c>
      <c r="C361" s="19">
        <v>24.4</v>
      </c>
      <c r="D361" s="28">
        <v>3.6</v>
      </c>
      <c r="E361" s="19">
        <v>8.6</v>
      </c>
    </row>
    <row r="362" spans="1:5" x14ac:dyDescent="0.25">
      <c r="A362" s="30">
        <v>5.29</v>
      </c>
      <c r="B362" s="19">
        <v>5.29</v>
      </c>
      <c r="C362" s="19">
        <v>22.8</v>
      </c>
      <c r="D362" s="28">
        <v>3.41</v>
      </c>
      <c r="E362" s="19">
        <v>6.4</v>
      </c>
    </row>
    <row r="363" spans="1:5" x14ac:dyDescent="0.25">
      <c r="A363" s="30">
        <v>5.3</v>
      </c>
      <c r="B363" s="19">
        <v>15.899999999999999</v>
      </c>
      <c r="C363" s="19">
        <v>23.5</v>
      </c>
      <c r="D363" s="28">
        <v>3.5933333333333333</v>
      </c>
      <c r="E363" s="19">
        <v>6.1966666666666663</v>
      </c>
    </row>
    <row r="364" spans="1:5" x14ac:dyDescent="0.25">
      <c r="A364" s="30">
        <v>5.31</v>
      </c>
      <c r="B364" s="19">
        <v>5.31</v>
      </c>
      <c r="C364" s="19">
        <v>23.2</v>
      </c>
      <c r="D364" s="28">
        <v>3.34</v>
      </c>
      <c r="E364" s="19">
        <v>8.1</v>
      </c>
    </row>
    <row r="365" spans="1:5" x14ac:dyDescent="0.25">
      <c r="A365" s="30">
        <v>5.4</v>
      </c>
      <c r="B365" s="19">
        <v>21.6</v>
      </c>
      <c r="C365" s="19">
        <v>24.2</v>
      </c>
      <c r="D365" s="28">
        <v>3.3525000000000005</v>
      </c>
      <c r="E365" s="19">
        <v>9.375</v>
      </c>
    </row>
    <row r="366" spans="1:5" x14ac:dyDescent="0.25">
      <c r="A366" s="30">
        <v>5.43</v>
      </c>
      <c r="B366" s="19">
        <v>5.43</v>
      </c>
      <c r="C366" s="19">
        <v>23</v>
      </c>
      <c r="D366" s="28">
        <v>3.5</v>
      </c>
      <c r="E366" s="19">
        <v>6</v>
      </c>
    </row>
    <row r="367" spans="1:5" x14ac:dyDescent="0.25">
      <c r="A367" s="30">
        <v>5.46</v>
      </c>
      <c r="B367" s="19">
        <v>5.46</v>
      </c>
      <c r="C367" s="19">
        <v>24.2</v>
      </c>
      <c r="D367" s="28">
        <v>3.4</v>
      </c>
      <c r="E367" s="19">
        <v>5.9</v>
      </c>
    </row>
    <row r="368" spans="1:5" x14ac:dyDescent="0.25">
      <c r="A368" s="30">
        <v>5.5</v>
      </c>
      <c r="B368" s="19">
        <v>22</v>
      </c>
      <c r="C368" s="19">
        <v>23.666666666666668</v>
      </c>
      <c r="D368" s="28">
        <v>3.5633333333333339</v>
      </c>
      <c r="E368" s="19">
        <v>6.9000000000000012</v>
      </c>
    </row>
    <row r="369" spans="1:5" x14ac:dyDescent="0.25">
      <c r="A369" s="30">
        <v>5.58</v>
      </c>
      <c r="B369" s="19">
        <v>5.58</v>
      </c>
      <c r="C369" s="19">
        <v>25.2</v>
      </c>
      <c r="D369" s="28">
        <v>3.38</v>
      </c>
      <c r="E369" s="19">
        <v>6.7</v>
      </c>
    </row>
    <row r="370" spans="1:5" x14ac:dyDescent="0.25">
      <c r="A370" s="30">
        <v>5.6</v>
      </c>
      <c r="B370" s="19">
        <v>33.6</v>
      </c>
      <c r="C370" s="19">
        <v>28.099999999999998</v>
      </c>
      <c r="D370" s="28">
        <v>3.6183333333333336</v>
      </c>
      <c r="E370" s="19">
        <v>7.6833333333333345</v>
      </c>
    </row>
    <row r="371" spans="1:5" x14ac:dyDescent="0.25">
      <c r="A371" s="30">
        <v>5.6050000000000004</v>
      </c>
      <c r="B371" s="19">
        <v>5.6050000000000004</v>
      </c>
      <c r="C371" s="19">
        <v>22.8</v>
      </c>
      <c r="D371" s="28">
        <v>3.13</v>
      </c>
      <c r="E371" s="19">
        <v>9.1999999999999993</v>
      </c>
    </row>
    <row r="372" spans="1:5" x14ac:dyDescent="0.25">
      <c r="A372" s="30">
        <v>5.67</v>
      </c>
      <c r="B372" s="19">
        <v>5.67</v>
      </c>
      <c r="C372" s="19">
        <v>22.2</v>
      </c>
      <c r="D372" s="28">
        <v>3.45</v>
      </c>
      <c r="E372" s="19">
        <v>6.3</v>
      </c>
    </row>
    <row r="373" spans="1:5" x14ac:dyDescent="0.25">
      <c r="A373" s="30">
        <v>5.7</v>
      </c>
      <c r="B373" s="19">
        <v>22.8</v>
      </c>
      <c r="C373" s="19">
        <v>23.274999999999999</v>
      </c>
      <c r="D373" s="28">
        <v>3.4849999999999999</v>
      </c>
      <c r="E373" s="19">
        <v>6.9749999999999996</v>
      </c>
    </row>
    <row r="374" spans="1:5" x14ac:dyDescent="0.25">
      <c r="A374" s="30">
        <v>5.8</v>
      </c>
      <c r="B374" s="19">
        <v>17.399999999999999</v>
      </c>
      <c r="C374" s="19">
        <v>25.533333333333331</v>
      </c>
      <c r="D374" s="28">
        <v>3.5166666666666671</v>
      </c>
      <c r="E374" s="19">
        <v>7.7</v>
      </c>
    </row>
    <row r="375" spans="1:5" x14ac:dyDescent="0.25">
      <c r="A375" s="30">
        <v>5.83</v>
      </c>
      <c r="B375" s="19">
        <v>5.83</v>
      </c>
      <c r="C375" s="19">
        <v>24.666666666666668</v>
      </c>
      <c r="D375" s="28">
        <v>3.6533333333333338</v>
      </c>
      <c r="E375" s="19">
        <v>4.42</v>
      </c>
    </row>
    <row r="376" spans="1:5" x14ac:dyDescent="0.25">
      <c r="A376" s="30">
        <v>5.9</v>
      </c>
      <c r="B376" s="19">
        <v>5.9</v>
      </c>
      <c r="C376" s="19">
        <v>23.2</v>
      </c>
      <c r="D376" s="28">
        <v>3.62</v>
      </c>
      <c r="E376" s="19">
        <v>6.2</v>
      </c>
    </row>
    <row r="377" spans="1:5" x14ac:dyDescent="0.25">
      <c r="A377" s="30">
        <v>5.9219999999999997</v>
      </c>
      <c r="B377" s="19">
        <v>5.9219999999999997</v>
      </c>
      <c r="C377" s="19">
        <v>25.6</v>
      </c>
      <c r="D377" s="28">
        <v>3.15</v>
      </c>
      <c r="E377" s="19">
        <v>7.2</v>
      </c>
    </row>
    <row r="378" spans="1:5" x14ac:dyDescent="0.25">
      <c r="A378" s="30">
        <v>5.95</v>
      </c>
      <c r="B378" s="19">
        <v>5.95</v>
      </c>
      <c r="C378" s="19">
        <v>34</v>
      </c>
      <c r="D378" s="28">
        <v>3.66</v>
      </c>
      <c r="E378" s="19">
        <v>8.9</v>
      </c>
    </row>
    <row r="379" spans="1:5" x14ac:dyDescent="0.25">
      <c r="A379" s="30">
        <v>6</v>
      </c>
      <c r="B379" s="19">
        <v>18</v>
      </c>
      <c r="C379" s="19">
        <v>24.4</v>
      </c>
      <c r="D379" s="28">
        <v>3.31</v>
      </c>
      <c r="E379" s="19">
        <v>8.0500000000000007</v>
      </c>
    </row>
    <row r="380" spans="1:5" x14ac:dyDescent="0.25">
      <c r="A380" s="30">
        <v>6.09</v>
      </c>
      <c r="B380" s="19">
        <v>6.09</v>
      </c>
      <c r="C380" s="19">
        <v>23.2</v>
      </c>
      <c r="D380" s="28">
        <v>3.23</v>
      </c>
      <c r="E380" s="19">
        <v>8.6999999999999993</v>
      </c>
    </row>
    <row r="381" spans="1:5" x14ac:dyDescent="0.25">
      <c r="A381" s="30">
        <v>6.1</v>
      </c>
      <c r="B381" s="19">
        <v>18.299999999999997</v>
      </c>
      <c r="C381" s="19">
        <v>23</v>
      </c>
      <c r="D381" s="28">
        <v>3.36</v>
      </c>
      <c r="E381" s="19">
        <v>7.6266666666666678</v>
      </c>
    </row>
    <row r="382" spans="1:5" x14ac:dyDescent="0.25">
      <c r="A382" s="30">
        <v>6.13</v>
      </c>
      <c r="B382" s="19">
        <v>6.13</v>
      </c>
      <c r="C382" s="19">
        <v>19.399999999999999</v>
      </c>
      <c r="D382" s="28">
        <v>2.86</v>
      </c>
      <c r="E382" s="19">
        <v>12.5</v>
      </c>
    </row>
    <row r="383" spans="1:5" x14ac:dyDescent="0.25">
      <c r="A383" s="30">
        <v>6.2</v>
      </c>
      <c r="B383" s="19">
        <v>24.8</v>
      </c>
      <c r="C383" s="19">
        <v>24.099999999999998</v>
      </c>
      <c r="D383" s="28">
        <v>3.6400000000000006</v>
      </c>
      <c r="E383" s="19">
        <v>6.2750000000000004</v>
      </c>
    </row>
    <row r="384" spans="1:5" x14ac:dyDescent="0.25">
      <c r="A384" s="30">
        <v>6.3</v>
      </c>
      <c r="B384" s="19">
        <v>18.899999999999999</v>
      </c>
      <c r="C384" s="19">
        <v>23.733333333333334</v>
      </c>
      <c r="D384" s="28">
        <v>3.2300000000000004</v>
      </c>
      <c r="E384" s="19">
        <v>10.1</v>
      </c>
    </row>
    <row r="385" spans="1:5" x14ac:dyDescent="0.25">
      <c r="A385" s="30">
        <v>6.36</v>
      </c>
      <c r="B385" s="19">
        <v>6.36</v>
      </c>
      <c r="C385" s="19">
        <v>23.6</v>
      </c>
      <c r="D385" s="28">
        <v>3.37</v>
      </c>
      <c r="E385" s="19">
        <v>7.4</v>
      </c>
    </row>
    <row r="386" spans="1:5" x14ac:dyDescent="0.25">
      <c r="A386" s="30">
        <v>6.4</v>
      </c>
      <c r="B386" s="19">
        <v>12.8</v>
      </c>
      <c r="C386" s="19">
        <v>33.700000000000003</v>
      </c>
      <c r="D386" s="28">
        <v>3.2549999999999999</v>
      </c>
      <c r="E386" s="19">
        <v>11.8</v>
      </c>
    </row>
    <row r="387" spans="1:5" x14ac:dyDescent="0.25">
      <c r="A387" s="30">
        <v>6.45</v>
      </c>
      <c r="B387" s="19">
        <v>6.45</v>
      </c>
      <c r="C387" s="19">
        <v>23.2</v>
      </c>
      <c r="D387" s="28">
        <v>3.24</v>
      </c>
      <c r="E387" s="19">
        <v>6.5</v>
      </c>
    </row>
    <row r="388" spans="1:5" x14ac:dyDescent="0.25">
      <c r="A388" s="30">
        <v>6.5</v>
      </c>
      <c r="B388" s="19">
        <v>6.5</v>
      </c>
      <c r="C388" s="19">
        <v>24.8</v>
      </c>
      <c r="D388" s="28">
        <v>3.68</v>
      </c>
      <c r="E388" s="19">
        <v>7.6</v>
      </c>
    </row>
    <row r="389" spans="1:5" x14ac:dyDescent="0.25">
      <c r="A389" s="30">
        <v>6.53</v>
      </c>
      <c r="B389" s="19">
        <v>6.53</v>
      </c>
      <c r="C389" s="19">
        <v>23.8</v>
      </c>
      <c r="D389" s="28">
        <v>3.63</v>
      </c>
      <c r="E389" s="19">
        <v>6.75</v>
      </c>
    </row>
    <row r="390" spans="1:5" x14ac:dyDescent="0.25">
      <c r="A390" s="30">
        <v>6.6</v>
      </c>
      <c r="B390" s="19">
        <v>13.2</v>
      </c>
      <c r="C390" s="19">
        <v>24</v>
      </c>
      <c r="D390" s="28">
        <v>3.67</v>
      </c>
      <c r="E390" s="19">
        <v>6.8000000000000007</v>
      </c>
    </row>
    <row r="391" spans="1:5" x14ac:dyDescent="0.25">
      <c r="A391" s="30">
        <v>6.62</v>
      </c>
      <c r="B391" s="19">
        <v>6.62</v>
      </c>
      <c r="C391" s="19">
        <v>25.4</v>
      </c>
      <c r="D391" s="28">
        <v>3.52</v>
      </c>
      <c r="E391" s="19">
        <v>5.0999999999999996</v>
      </c>
    </row>
    <row r="392" spans="1:5" x14ac:dyDescent="0.25">
      <c r="A392" s="30">
        <v>6.63</v>
      </c>
      <c r="B392" s="19">
        <v>6.63</v>
      </c>
      <c r="C392" s="19">
        <v>23.4</v>
      </c>
      <c r="D392" s="28">
        <v>3.38</v>
      </c>
      <c r="E392" s="19">
        <v>6.5</v>
      </c>
    </row>
    <row r="393" spans="1:5" x14ac:dyDescent="0.25">
      <c r="A393" s="30">
        <v>6.7</v>
      </c>
      <c r="B393" s="19">
        <v>13.4</v>
      </c>
      <c r="C393" s="19">
        <v>22.4</v>
      </c>
      <c r="D393" s="28">
        <v>3.5</v>
      </c>
      <c r="E393" s="19">
        <v>6.25</v>
      </c>
    </row>
    <row r="394" spans="1:5" x14ac:dyDescent="0.25">
      <c r="A394" s="30">
        <v>6.8</v>
      </c>
      <c r="B394" s="19">
        <v>6.8</v>
      </c>
      <c r="C394" s="19">
        <v>21.6</v>
      </c>
      <c r="D394" s="28">
        <v>3.24</v>
      </c>
      <c r="E394" s="19">
        <v>7.7</v>
      </c>
    </row>
    <row r="395" spans="1:5" x14ac:dyDescent="0.25">
      <c r="A395" s="30">
        <v>6.87</v>
      </c>
      <c r="B395" s="19">
        <v>6.87</v>
      </c>
      <c r="C395" s="19">
        <v>22.5</v>
      </c>
      <c r="D395" s="28">
        <v>3.21</v>
      </c>
      <c r="E395" s="19">
        <v>8.5</v>
      </c>
    </row>
    <row r="396" spans="1:5" x14ac:dyDescent="0.25">
      <c r="A396" s="30">
        <v>6.9</v>
      </c>
      <c r="B396" s="19">
        <v>20.700000000000003</v>
      </c>
      <c r="C396" s="19">
        <v>22.933333333333337</v>
      </c>
      <c r="D396" s="28">
        <v>3.4066666666666667</v>
      </c>
      <c r="E396" s="19">
        <v>7.9666666666666677</v>
      </c>
    </row>
    <row r="397" spans="1:5" x14ac:dyDescent="0.25">
      <c r="A397" s="30">
        <v>7</v>
      </c>
      <c r="B397" s="19">
        <v>21</v>
      </c>
      <c r="C397" s="19">
        <v>32.866666666666667</v>
      </c>
      <c r="D397" s="28">
        <v>3.59</v>
      </c>
      <c r="E397" s="19">
        <v>8.9666666666666668</v>
      </c>
    </row>
    <row r="398" spans="1:5" x14ac:dyDescent="0.25">
      <c r="A398" s="30">
        <v>7.0225</v>
      </c>
      <c r="B398" s="19">
        <v>7.0225</v>
      </c>
      <c r="C398" s="19">
        <v>24</v>
      </c>
      <c r="D398" s="28">
        <v>3.03</v>
      </c>
      <c r="E398" s="19">
        <v>10.199999999999999</v>
      </c>
    </row>
    <row r="399" spans="1:5" x14ac:dyDescent="0.25">
      <c r="A399" s="30">
        <v>7.09</v>
      </c>
      <c r="B399" s="19">
        <v>7.09</v>
      </c>
      <c r="C399" s="19">
        <v>22.4</v>
      </c>
      <c r="D399" s="28">
        <v>3.52</v>
      </c>
      <c r="E399" s="19">
        <v>5.5</v>
      </c>
    </row>
    <row r="400" spans="1:5" x14ac:dyDescent="0.25">
      <c r="A400" s="30">
        <v>7.12</v>
      </c>
      <c r="B400" s="19">
        <v>7.12</v>
      </c>
      <c r="C400" s="19">
        <v>23</v>
      </c>
      <c r="D400" s="28">
        <v>3.52</v>
      </c>
      <c r="E400" s="19">
        <v>7.7</v>
      </c>
    </row>
    <row r="401" spans="1:5" x14ac:dyDescent="0.25">
      <c r="A401" s="30">
        <v>7.2</v>
      </c>
      <c r="B401" s="19">
        <v>21.6</v>
      </c>
      <c r="C401" s="19">
        <v>25.133333333333336</v>
      </c>
      <c r="D401" s="28">
        <v>3.6633333333333336</v>
      </c>
      <c r="E401" s="19">
        <v>6.4333333333333336</v>
      </c>
    </row>
    <row r="402" spans="1:5" x14ac:dyDescent="0.25">
      <c r="A402" s="30">
        <v>7.29</v>
      </c>
      <c r="B402" s="19">
        <v>7.29</v>
      </c>
      <c r="C402" s="19">
        <v>22.5</v>
      </c>
      <c r="D402" s="28">
        <v>3.63</v>
      </c>
      <c r="E402" s="19">
        <v>5.4</v>
      </c>
    </row>
    <row r="403" spans="1:5" x14ac:dyDescent="0.25">
      <c r="A403" s="30">
        <v>7.3</v>
      </c>
      <c r="B403" s="19">
        <v>7.3</v>
      </c>
      <c r="C403" s="19">
        <v>25</v>
      </c>
      <c r="D403" s="28">
        <v>3.46</v>
      </c>
      <c r="E403" s="19">
        <v>5.0999999999999996</v>
      </c>
    </row>
    <row r="404" spans="1:5" x14ac:dyDescent="0.25">
      <c r="A404" s="30">
        <v>7.4</v>
      </c>
      <c r="B404" s="19">
        <v>7.4</v>
      </c>
      <c r="C404" s="19">
        <v>24.6</v>
      </c>
      <c r="D404" s="28">
        <v>3.54</v>
      </c>
      <c r="E404" s="19">
        <v>7.9</v>
      </c>
    </row>
    <row r="405" spans="1:5" x14ac:dyDescent="0.25">
      <c r="A405" s="30">
        <v>7.5</v>
      </c>
      <c r="B405" s="19">
        <v>15</v>
      </c>
      <c r="C405" s="19">
        <v>24.4</v>
      </c>
      <c r="D405" s="28">
        <v>3.33</v>
      </c>
      <c r="E405" s="19">
        <v>9.85</v>
      </c>
    </row>
    <row r="406" spans="1:5" x14ac:dyDescent="0.25">
      <c r="A406" s="30">
        <v>7.6</v>
      </c>
      <c r="B406" s="19">
        <v>22.799999999999997</v>
      </c>
      <c r="C406" s="19">
        <v>23.2</v>
      </c>
      <c r="D406" s="28">
        <v>3.51</v>
      </c>
      <c r="E406" s="19">
        <v>7</v>
      </c>
    </row>
    <row r="407" spans="1:5" x14ac:dyDescent="0.25">
      <c r="A407" s="30">
        <v>7.66</v>
      </c>
      <c r="B407" s="19">
        <v>15.32</v>
      </c>
      <c r="C407" s="19">
        <v>22.4</v>
      </c>
      <c r="D407" s="28">
        <v>3.23</v>
      </c>
      <c r="E407" s="19">
        <v>8.1999999999999993</v>
      </c>
    </row>
    <row r="408" spans="1:5" x14ac:dyDescent="0.25">
      <c r="A408" s="30">
        <v>7.7</v>
      </c>
      <c r="B408" s="19">
        <v>7.7</v>
      </c>
      <c r="C408" s="19"/>
      <c r="D408" s="28"/>
      <c r="E408" s="19"/>
    </row>
    <row r="409" spans="1:5" x14ac:dyDescent="0.25">
      <c r="A409" s="30">
        <v>7.8</v>
      </c>
      <c r="B409" s="19">
        <v>23.4</v>
      </c>
      <c r="C409" s="19">
        <v>25.599999999999998</v>
      </c>
      <c r="D409" s="28">
        <v>3.51</v>
      </c>
      <c r="E409" s="19">
        <v>8.1100000000000012</v>
      </c>
    </row>
    <row r="410" spans="1:5" x14ac:dyDescent="0.25">
      <c r="A410" s="30">
        <v>7.81</v>
      </c>
      <c r="B410" s="19">
        <v>7.81</v>
      </c>
      <c r="C410" s="19">
        <v>23.2</v>
      </c>
      <c r="D410" s="28">
        <v>3.48</v>
      </c>
      <c r="E410" s="19">
        <v>6.2</v>
      </c>
    </row>
    <row r="411" spans="1:5" x14ac:dyDescent="0.25">
      <c r="A411" s="30">
        <v>7.89</v>
      </c>
      <c r="B411" s="19">
        <v>7.89</v>
      </c>
      <c r="C411" s="19">
        <v>23</v>
      </c>
      <c r="D411" s="28">
        <v>3.41</v>
      </c>
      <c r="E411" s="19">
        <v>7.87</v>
      </c>
    </row>
    <row r="412" spans="1:5" x14ac:dyDescent="0.25">
      <c r="A412" s="30">
        <v>7.9065000000000003</v>
      </c>
      <c r="B412" s="19">
        <v>7.9065000000000003</v>
      </c>
      <c r="C412" s="19">
        <v>23</v>
      </c>
      <c r="D412" s="28">
        <v>3.16</v>
      </c>
      <c r="E412" s="19">
        <v>11.5</v>
      </c>
    </row>
    <row r="413" spans="1:5" x14ac:dyDescent="0.25">
      <c r="A413" s="30">
        <v>8</v>
      </c>
      <c r="B413" s="19">
        <v>16</v>
      </c>
      <c r="C413" s="19">
        <v>28.9</v>
      </c>
      <c r="D413" s="28">
        <v>3.6</v>
      </c>
      <c r="E413" s="19">
        <v>7.35</v>
      </c>
    </row>
    <row r="414" spans="1:5" x14ac:dyDescent="0.25">
      <c r="A414" s="30">
        <v>8.14</v>
      </c>
      <c r="B414" s="19">
        <v>8.14</v>
      </c>
      <c r="C414" s="19">
        <v>25</v>
      </c>
      <c r="D414" s="28">
        <v>3.43</v>
      </c>
      <c r="E414" s="19">
        <v>6.7</v>
      </c>
    </row>
    <row r="415" spans="1:5" x14ac:dyDescent="0.25">
      <c r="A415" s="30">
        <v>8.17</v>
      </c>
      <c r="B415" s="19">
        <v>8.17</v>
      </c>
      <c r="C415" s="19">
        <v>23.2</v>
      </c>
      <c r="D415" s="28">
        <v>3.27</v>
      </c>
      <c r="E415" s="19">
        <v>7</v>
      </c>
    </row>
    <row r="416" spans="1:5" x14ac:dyDescent="0.25">
      <c r="A416" s="30">
        <v>8.1999999999999993</v>
      </c>
      <c r="B416" s="19">
        <v>16.399999999999999</v>
      </c>
      <c r="C416" s="19">
        <v>24.4</v>
      </c>
      <c r="D416" s="28">
        <v>3.4699999999999998</v>
      </c>
      <c r="E416" s="19">
        <v>7.15</v>
      </c>
    </row>
    <row r="417" spans="1:5" x14ac:dyDescent="0.25">
      <c r="A417" s="30">
        <v>8.2099999999999991</v>
      </c>
      <c r="B417" s="19">
        <v>8.2099999999999991</v>
      </c>
      <c r="C417" s="19">
        <v>22.799999999999997</v>
      </c>
      <c r="D417" s="28">
        <v>3.415</v>
      </c>
      <c r="E417" s="19">
        <v>5.9749999999999996</v>
      </c>
    </row>
    <row r="418" spans="1:5" x14ac:dyDescent="0.25">
      <c r="A418" s="30">
        <v>8.2125000000000004</v>
      </c>
      <c r="B418" s="19">
        <v>8.2125000000000004</v>
      </c>
      <c r="C418" s="19">
        <v>19</v>
      </c>
      <c r="D418" s="28">
        <v>2.9</v>
      </c>
      <c r="E418" s="19">
        <v>13.5</v>
      </c>
    </row>
    <row r="419" spans="1:5" x14ac:dyDescent="0.25">
      <c r="A419" s="30">
        <v>8.23</v>
      </c>
      <c r="B419" s="19">
        <v>8.23</v>
      </c>
      <c r="C419" s="19">
        <v>28.2</v>
      </c>
      <c r="D419" s="28">
        <v>3.41</v>
      </c>
      <c r="E419" s="19">
        <v>7.8</v>
      </c>
    </row>
    <row r="420" spans="1:5" x14ac:dyDescent="0.25">
      <c r="A420" s="30">
        <v>8.2370000000000001</v>
      </c>
      <c r="B420" s="19">
        <v>8.2370000000000001</v>
      </c>
      <c r="C420" s="19">
        <v>23</v>
      </c>
      <c r="D420" s="28">
        <v>2.96</v>
      </c>
      <c r="E420" s="19">
        <v>13.7</v>
      </c>
    </row>
    <row r="421" spans="1:5" x14ac:dyDescent="0.25">
      <c r="A421" s="30">
        <v>8.3000000000000007</v>
      </c>
      <c r="B421" s="19">
        <v>24.900000000000002</v>
      </c>
      <c r="C421" s="19">
        <v>24.099999999999998</v>
      </c>
      <c r="D421" s="28">
        <v>3.3000000000000003</v>
      </c>
      <c r="E421" s="19">
        <v>7.6333333333333329</v>
      </c>
    </row>
    <row r="422" spans="1:5" x14ac:dyDescent="0.25">
      <c r="A422" s="30">
        <v>8.33</v>
      </c>
      <c r="B422" s="19">
        <v>8.33</v>
      </c>
      <c r="C422" s="19">
        <v>23</v>
      </c>
      <c r="D422" s="28">
        <v>3.36</v>
      </c>
      <c r="E422" s="19">
        <v>6.2</v>
      </c>
    </row>
    <row r="423" spans="1:5" x14ac:dyDescent="0.25">
      <c r="A423" s="30">
        <v>8.370000000000001</v>
      </c>
      <c r="B423" s="19">
        <v>8.370000000000001</v>
      </c>
      <c r="C423" s="19">
        <v>23.4</v>
      </c>
      <c r="D423" s="28">
        <v>3.45</v>
      </c>
      <c r="E423" s="19">
        <v>7.5</v>
      </c>
    </row>
    <row r="424" spans="1:5" x14ac:dyDescent="0.25">
      <c r="A424" s="30">
        <v>8.4</v>
      </c>
      <c r="B424" s="19">
        <v>25.200000000000003</v>
      </c>
      <c r="C424" s="19">
        <v>23.933333333333334</v>
      </c>
      <c r="D424" s="28">
        <v>3.42</v>
      </c>
      <c r="E424" s="19">
        <v>7.2199999999999989</v>
      </c>
    </row>
    <row r="425" spans="1:5" x14ac:dyDescent="0.25">
      <c r="A425" s="30">
        <v>8.4405000000000001</v>
      </c>
      <c r="B425" s="19">
        <v>8.4405000000000001</v>
      </c>
      <c r="C425" s="19">
        <v>22.1</v>
      </c>
      <c r="D425" s="28">
        <v>3.03</v>
      </c>
      <c r="E425" s="19">
        <v>10.199999999999999</v>
      </c>
    </row>
    <row r="426" spans="1:5" x14ac:dyDescent="0.25">
      <c r="A426" s="30">
        <v>8.5</v>
      </c>
      <c r="B426" s="19">
        <v>51</v>
      </c>
      <c r="C426" s="19">
        <v>25.799999999999997</v>
      </c>
      <c r="D426" s="28">
        <v>3.4550000000000001</v>
      </c>
      <c r="E426" s="19">
        <v>6.1733333333333329</v>
      </c>
    </row>
    <row r="427" spans="1:5" x14ac:dyDescent="0.25">
      <c r="A427" s="30">
        <v>8.5404999999999998</v>
      </c>
      <c r="B427" s="19">
        <v>8.5404999999999998</v>
      </c>
      <c r="C427" s="19">
        <v>25.4</v>
      </c>
      <c r="D427" s="28">
        <v>3.08</v>
      </c>
      <c r="E427" s="19">
        <v>11.6</v>
      </c>
    </row>
    <row r="428" spans="1:5" x14ac:dyDescent="0.25">
      <c r="A428" s="30">
        <v>8.5500000000000007</v>
      </c>
      <c r="B428" s="19">
        <v>8.5500000000000007</v>
      </c>
      <c r="C428" s="19">
        <v>23.1</v>
      </c>
      <c r="D428" s="28">
        <v>3.24</v>
      </c>
      <c r="E428" s="19">
        <v>8.6</v>
      </c>
    </row>
    <row r="429" spans="1:5" x14ac:dyDescent="0.25">
      <c r="A429" s="30">
        <v>8.5694999999999997</v>
      </c>
      <c r="B429" s="19">
        <v>8.5694999999999997</v>
      </c>
      <c r="C429" s="19">
        <v>25.6</v>
      </c>
      <c r="D429" s="28">
        <v>3.25</v>
      </c>
      <c r="E429" s="19">
        <v>11.6</v>
      </c>
    </row>
    <row r="430" spans="1:5" x14ac:dyDescent="0.25">
      <c r="A430" s="30">
        <v>8.6199999999999992</v>
      </c>
      <c r="B430" s="19">
        <v>8.6199999999999992</v>
      </c>
      <c r="C430" s="19">
        <v>22.4</v>
      </c>
      <c r="D430" s="28">
        <v>3.4</v>
      </c>
      <c r="E430" s="19">
        <v>7.4</v>
      </c>
    </row>
    <row r="431" spans="1:5" x14ac:dyDescent="0.25">
      <c r="A431" s="30">
        <v>8.68</v>
      </c>
      <c r="B431" s="19">
        <v>8.68</v>
      </c>
      <c r="C431" s="19">
        <v>25.8</v>
      </c>
      <c r="D431" s="28">
        <v>3.27</v>
      </c>
      <c r="E431" s="19">
        <v>8.6</v>
      </c>
    </row>
    <row r="432" spans="1:5" x14ac:dyDescent="0.25">
      <c r="A432" s="30">
        <v>8.75</v>
      </c>
      <c r="B432" s="19">
        <v>8.75</v>
      </c>
      <c r="C432" s="19">
        <v>23.4</v>
      </c>
      <c r="D432" s="28">
        <v>3.51</v>
      </c>
      <c r="E432" s="19">
        <v>7.7</v>
      </c>
    </row>
    <row r="433" spans="1:5" x14ac:dyDescent="0.25">
      <c r="A433" s="30">
        <v>8.8000000000000007</v>
      </c>
      <c r="B433" s="19">
        <v>8.8000000000000007</v>
      </c>
      <c r="C433" s="19">
        <v>23.5</v>
      </c>
      <c r="D433" s="28">
        <v>3.43</v>
      </c>
      <c r="E433" s="19">
        <v>7.4</v>
      </c>
    </row>
    <row r="434" spans="1:5" x14ac:dyDescent="0.25">
      <c r="A434" s="30">
        <v>8.82</v>
      </c>
      <c r="B434" s="19">
        <v>8.82</v>
      </c>
      <c r="C434" s="19">
        <v>24.8</v>
      </c>
      <c r="D434" s="28">
        <v>3.31</v>
      </c>
      <c r="E434" s="19">
        <v>8.6</v>
      </c>
    </row>
    <row r="435" spans="1:5" x14ac:dyDescent="0.25">
      <c r="A435" s="30">
        <v>8.9</v>
      </c>
      <c r="B435" s="19">
        <v>8.9</v>
      </c>
      <c r="C435" s="19">
        <v>25.2</v>
      </c>
      <c r="D435" s="28">
        <v>3.59</v>
      </c>
      <c r="E435" s="19">
        <v>6.5</v>
      </c>
    </row>
    <row r="436" spans="1:5" x14ac:dyDescent="0.25">
      <c r="A436" s="30">
        <v>9.1999999999999993</v>
      </c>
      <c r="B436" s="19">
        <v>18.399999999999999</v>
      </c>
      <c r="C436" s="19">
        <v>25</v>
      </c>
      <c r="D436" s="28">
        <v>3.6799999999999997</v>
      </c>
      <c r="E436" s="19">
        <v>5.8</v>
      </c>
    </row>
    <row r="437" spans="1:5" x14ac:dyDescent="0.25">
      <c r="A437" s="30">
        <v>9.2899999999999991</v>
      </c>
      <c r="B437" s="19">
        <v>9.2899999999999991</v>
      </c>
      <c r="C437" s="19">
        <v>25.299999999999997</v>
      </c>
      <c r="D437" s="28">
        <v>3.58</v>
      </c>
      <c r="E437" s="19">
        <v>5.23</v>
      </c>
    </row>
    <row r="438" spans="1:5" x14ac:dyDescent="0.25">
      <c r="A438" s="30">
        <v>9.3000000000000007</v>
      </c>
      <c r="B438" s="19">
        <v>9.3000000000000007</v>
      </c>
      <c r="C438" s="19">
        <v>22.3</v>
      </c>
      <c r="D438" s="28">
        <v>3.12</v>
      </c>
      <c r="E438" s="19">
        <v>8.9</v>
      </c>
    </row>
    <row r="439" spans="1:5" x14ac:dyDescent="0.25">
      <c r="A439" s="30">
        <v>9.3339999999999996</v>
      </c>
      <c r="B439" s="19">
        <v>9.3339999999999996</v>
      </c>
      <c r="C439" s="19">
        <v>24.2</v>
      </c>
      <c r="D439" s="28">
        <v>3.16</v>
      </c>
      <c r="E439" s="19">
        <v>11.2</v>
      </c>
    </row>
    <row r="440" spans="1:5" x14ac:dyDescent="0.25">
      <c r="A440" s="30">
        <v>9.4</v>
      </c>
      <c r="B440" s="19">
        <v>9.4</v>
      </c>
      <c r="C440" s="19">
        <v>25.2</v>
      </c>
      <c r="D440" s="28">
        <v>3.7</v>
      </c>
      <c r="E440" s="19">
        <v>6.1</v>
      </c>
    </row>
    <row r="441" spans="1:5" x14ac:dyDescent="0.25">
      <c r="A441" s="30">
        <v>9.44</v>
      </c>
      <c r="B441" s="19">
        <v>9.44</v>
      </c>
      <c r="C441" s="19">
        <v>24.6</v>
      </c>
      <c r="D441" s="28">
        <v>3.3</v>
      </c>
      <c r="E441" s="19">
        <v>6.3</v>
      </c>
    </row>
    <row r="442" spans="1:5" x14ac:dyDescent="0.25">
      <c r="A442" s="30">
        <v>9.48</v>
      </c>
      <c r="B442" s="19">
        <v>9.48</v>
      </c>
      <c r="C442" s="19">
        <v>21</v>
      </c>
      <c r="D442" s="28">
        <v>3.22</v>
      </c>
      <c r="E442" s="19">
        <v>8.1</v>
      </c>
    </row>
    <row r="443" spans="1:5" x14ac:dyDescent="0.25">
      <c r="A443" s="30">
        <v>9.5</v>
      </c>
      <c r="B443" s="19">
        <v>19</v>
      </c>
      <c r="C443" s="19">
        <v>29.4</v>
      </c>
      <c r="D443" s="28">
        <v>3.55</v>
      </c>
      <c r="E443" s="19">
        <v>6.6</v>
      </c>
    </row>
    <row r="444" spans="1:5" x14ac:dyDescent="0.25">
      <c r="A444" s="30">
        <v>9.51</v>
      </c>
      <c r="B444" s="19">
        <v>9.51</v>
      </c>
      <c r="C444" s="19">
        <v>26.2</v>
      </c>
      <c r="D444" s="28">
        <v>3.75</v>
      </c>
      <c r="E444" s="19">
        <v>5.0999999999999996</v>
      </c>
    </row>
    <row r="445" spans="1:5" x14ac:dyDescent="0.25">
      <c r="A445" s="30">
        <v>9.56</v>
      </c>
      <c r="B445" s="19">
        <v>9.56</v>
      </c>
      <c r="C445" s="19">
        <v>25.8</v>
      </c>
      <c r="D445" s="28">
        <v>3.51</v>
      </c>
      <c r="E445" s="19">
        <v>5.5</v>
      </c>
    </row>
    <row r="446" spans="1:5" x14ac:dyDescent="0.25">
      <c r="A446" s="30">
        <v>9.59</v>
      </c>
      <c r="B446" s="19">
        <v>9.59</v>
      </c>
      <c r="C446" s="19">
        <v>24</v>
      </c>
      <c r="D446" s="28">
        <v>2.94</v>
      </c>
      <c r="E446" s="19">
        <v>10.6</v>
      </c>
    </row>
    <row r="447" spans="1:5" x14ac:dyDescent="0.25">
      <c r="A447" s="30">
        <v>9.6</v>
      </c>
      <c r="B447" s="19">
        <v>9.6</v>
      </c>
      <c r="C447" s="19">
        <v>22</v>
      </c>
      <c r="D447" s="28">
        <v>3.11</v>
      </c>
      <c r="E447" s="19">
        <v>8.4</v>
      </c>
    </row>
    <row r="448" spans="1:5" x14ac:dyDescent="0.25">
      <c r="A448" s="30">
        <v>9.6159999999999997</v>
      </c>
      <c r="B448" s="19">
        <v>9.6159999999999997</v>
      </c>
      <c r="C448" s="19">
        <v>25</v>
      </c>
      <c r="D448" s="28">
        <v>3.12</v>
      </c>
      <c r="E448" s="19">
        <v>11.4</v>
      </c>
    </row>
    <row r="449" spans="1:5" x14ac:dyDescent="0.25">
      <c r="A449" s="30">
        <v>9.6300000000000008</v>
      </c>
      <c r="B449" s="19">
        <v>9.6300000000000008</v>
      </c>
      <c r="C449" s="19">
        <v>22.6</v>
      </c>
      <c r="D449" s="28">
        <v>3.33</v>
      </c>
      <c r="E449" s="19">
        <v>8.1999999999999993</v>
      </c>
    </row>
    <row r="450" spans="1:5" x14ac:dyDescent="0.25">
      <c r="A450" s="30">
        <v>9.6999999999999993</v>
      </c>
      <c r="B450" s="19">
        <v>9.6999999999999993</v>
      </c>
      <c r="C450" s="19">
        <v>21.8</v>
      </c>
      <c r="D450" s="28">
        <v>3.31</v>
      </c>
      <c r="E450" s="19">
        <v>7.6</v>
      </c>
    </row>
    <row r="451" spans="1:5" x14ac:dyDescent="0.25">
      <c r="A451" s="30">
        <v>9.7509999999999994</v>
      </c>
      <c r="B451" s="19">
        <v>9.7509999999999994</v>
      </c>
      <c r="C451" s="19">
        <v>22.6</v>
      </c>
      <c r="D451" s="28">
        <v>3.11</v>
      </c>
      <c r="E451" s="19">
        <v>9</v>
      </c>
    </row>
    <row r="452" spans="1:5" x14ac:dyDescent="0.25">
      <c r="A452" s="30">
        <v>9.8000000000000007</v>
      </c>
      <c r="B452" s="19">
        <v>19.600000000000001</v>
      </c>
      <c r="C452" s="19">
        <v>24.1</v>
      </c>
      <c r="D452" s="28">
        <v>3.26</v>
      </c>
      <c r="E452" s="19">
        <v>7.6</v>
      </c>
    </row>
    <row r="453" spans="1:5" x14ac:dyDescent="0.25">
      <c r="A453" s="30">
        <v>9.82</v>
      </c>
      <c r="B453" s="19">
        <v>9.82</v>
      </c>
      <c r="C453" s="19">
        <v>24.8</v>
      </c>
      <c r="D453" s="28">
        <v>6.45</v>
      </c>
      <c r="E453" s="19">
        <v>5.3</v>
      </c>
    </row>
    <row r="454" spans="1:5" x14ac:dyDescent="0.25">
      <c r="A454" s="30">
        <v>9.8789999999999996</v>
      </c>
      <c r="B454" s="19">
        <v>9.8789999999999996</v>
      </c>
      <c r="C454" s="19">
        <v>23.1</v>
      </c>
      <c r="D454" s="28">
        <v>3.1</v>
      </c>
      <c r="E454" s="19">
        <v>9.4</v>
      </c>
    </row>
    <row r="455" spans="1:5" x14ac:dyDescent="0.25">
      <c r="A455" s="30">
        <v>9.8800000000000008</v>
      </c>
      <c r="B455" s="19">
        <v>9.8800000000000008</v>
      </c>
      <c r="C455" s="19"/>
      <c r="D455" s="28"/>
      <c r="E455" s="19"/>
    </row>
    <row r="456" spans="1:5" x14ac:dyDescent="0.25">
      <c r="A456" s="30">
        <v>9.89</v>
      </c>
      <c r="B456" s="19">
        <v>9.89</v>
      </c>
      <c r="C456" s="19">
        <v>18.399999999999999</v>
      </c>
      <c r="D456" s="28">
        <v>3.09</v>
      </c>
      <c r="E456" s="19">
        <v>11.4</v>
      </c>
    </row>
    <row r="457" spans="1:5" x14ac:dyDescent="0.25">
      <c r="A457" s="30">
        <v>9.9</v>
      </c>
      <c r="B457" s="19">
        <v>29.700000000000003</v>
      </c>
      <c r="C457" s="19">
        <v>26.633333333333336</v>
      </c>
      <c r="D457" s="28">
        <v>3.6266666666666665</v>
      </c>
      <c r="E457" s="19">
        <v>6.8666666666666671</v>
      </c>
    </row>
    <row r="458" spans="1:5" x14ac:dyDescent="0.25">
      <c r="A458" s="30">
        <v>10</v>
      </c>
      <c r="B458" s="19">
        <v>20</v>
      </c>
      <c r="C458" s="19">
        <v>23.1</v>
      </c>
      <c r="D458" s="28">
        <v>3.2650000000000001</v>
      </c>
      <c r="E458" s="19">
        <v>7.6999999999999993</v>
      </c>
    </row>
    <row r="459" spans="1:5" x14ac:dyDescent="0.25">
      <c r="A459" s="30">
        <v>10.01</v>
      </c>
      <c r="B459" s="19">
        <v>10.01</v>
      </c>
      <c r="C459" s="19">
        <v>24</v>
      </c>
      <c r="D459" s="28">
        <v>3.24</v>
      </c>
      <c r="E459" s="19">
        <v>7.5</v>
      </c>
    </row>
    <row r="460" spans="1:5" x14ac:dyDescent="0.25">
      <c r="A460" s="30">
        <v>10.08</v>
      </c>
      <c r="B460" s="19">
        <v>10.08</v>
      </c>
      <c r="C460" s="19">
        <v>23</v>
      </c>
      <c r="D460" s="28">
        <v>3.36</v>
      </c>
      <c r="E460" s="19">
        <v>7.12</v>
      </c>
    </row>
    <row r="461" spans="1:5" x14ac:dyDescent="0.25">
      <c r="A461" s="30">
        <v>10.1</v>
      </c>
      <c r="B461" s="19">
        <v>10.1</v>
      </c>
      <c r="C461" s="19">
        <v>22.4</v>
      </c>
      <c r="D461" s="28">
        <v>3.51</v>
      </c>
      <c r="E461" s="19">
        <v>5.7</v>
      </c>
    </row>
    <row r="462" spans="1:5" x14ac:dyDescent="0.25">
      <c r="A462" s="30">
        <v>10.119999999999999</v>
      </c>
      <c r="B462" s="19">
        <v>10.119999999999999</v>
      </c>
      <c r="C462" s="19">
        <v>24.2</v>
      </c>
      <c r="D462" s="28">
        <v>3.17</v>
      </c>
      <c r="E462" s="19">
        <v>10.3</v>
      </c>
    </row>
    <row r="463" spans="1:5" x14ac:dyDescent="0.25">
      <c r="A463" s="30">
        <v>10.124000000000001</v>
      </c>
      <c r="B463" s="19">
        <v>10.124000000000001</v>
      </c>
      <c r="C463" s="19">
        <v>25.4</v>
      </c>
      <c r="D463" s="28">
        <v>2.98</v>
      </c>
      <c r="E463" s="19">
        <v>14.4</v>
      </c>
    </row>
    <row r="464" spans="1:5" x14ac:dyDescent="0.25">
      <c r="A464" s="30">
        <v>10.199999999999999</v>
      </c>
      <c r="B464" s="19">
        <v>30.599999999999998</v>
      </c>
      <c r="C464" s="19">
        <v>24.066666666666666</v>
      </c>
      <c r="D464" s="28">
        <v>3.3433333333333337</v>
      </c>
      <c r="E464" s="19">
        <v>7.9666666666666659</v>
      </c>
    </row>
    <row r="465" spans="1:5" x14ac:dyDescent="0.25">
      <c r="A465" s="30">
        <v>10.3</v>
      </c>
      <c r="B465" s="19">
        <v>41.2</v>
      </c>
      <c r="C465" s="19">
        <v>24.125</v>
      </c>
      <c r="D465" s="28">
        <v>3.3024999999999998</v>
      </c>
      <c r="E465" s="19">
        <v>9.2249999999999996</v>
      </c>
    </row>
    <row r="466" spans="1:5" x14ac:dyDescent="0.25">
      <c r="A466" s="30">
        <v>10.37</v>
      </c>
      <c r="B466" s="19">
        <v>10.37</v>
      </c>
      <c r="C466" s="19">
        <v>21.2</v>
      </c>
      <c r="D466" s="28">
        <v>3.2</v>
      </c>
      <c r="E466" s="19">
        <v>10.1</v>
      </c>
    </row>
    <row r="467" spans="1:5" x14ac:dyDescent="0.25">
      <c r="A467" s="30">
        <v>10.4</v>
      </c>
      <c r="B467" s="19">
        <v>20.8</v>
      </c>
      <c r="C467" s="19">
        <v>24.3</v>
      </c>
      <c r="D467" s="28">
        <v>3.71</v>
      </c>
      <c r="E467" s="19">
        <v>6.65</v>
      </c>
    </row>
    <row r="468" spans="1:5" x14ac:dyDescent="0.25">
      <c r="A468" s="30">
        <v>10.47</v>
      </c>
      <c r="B468" s="19">
        <v>20.94</v>
      </c>
      <c r="C468" s="19">
        <v>29.6</v>
      </c>
      <c r="D468" s="28">
        <v>3.37</v>
      </c>
      <c r="E468" s="19">
        <v>8.75</v>
      </c>
    </row>
    <row r="469" spans="1:5" x14ac:dyDescent="0.25">
      <c r="A469" s="30">
        <v>10.526999999999999</v>
      </c>
      <c r="B469" s="19">
        <v>10.526999999999999</v>
      </c>
      <c r="C469" s="19">
        <v>22</v>
      </c>
      <c r="D469" s="28">
        <v>3.12</v>
      </c>
      <c r="E469" s="19">
        <v>9.1999999999999993</v>
      </c>
    </row>
    <row r="470" spans="1:5" x14ac:dyDescent="0.25">
      <c r="A470" s="30">
        <v>10.54</v>
      </c>
      <c r="B470" s="19">
        <v>10.54</v>
      </c>
      <c r="C470" s="19">
        <v>24.2</v>
      </c>
      <c r="D470" s="28">
        <v>3.74</v>
      </c>
      <c r="E470" s="19">
        <v>4.16</v>
      </c>
    </row>
    <row r="471" spans="1:5" x14ac:dyDescent="0.25">
      <c r="A471" s="30">
        <v>10.59</v>
      </c>
      <c r="B471" s="19">
        <v>10.59</v>
      </c>
      <c r="C471" s="19">
        <v>20.2</v>
      </c>
      <c r="D471" s="28">
        <v>3.19</v>
      </c>
      <c r="E471" s="19">
        <v>10.8</v>
      </c>
    </row>
    <row r="472" spans="1:5" x14ac:dyDescent="0.25">
      <c r="A472" s="30">
        <v>10.6</v>
      </c>
      <c r="B472" s="19">
        <v>10.6</v>
      </c>
      <c r="C472" s="19">
        <v>22.8</v>
      </c>
      <c r="D472" s="28">
        <v>3.27</v>
      </c>
      <c r="E472" s="19">
        <v>7.7</v>
      </c>
    </row>
    <row r="473" spans="1:5" x14ac:dyDescent="0.25">
      <c r="A473" s="30">
        <v>10.62</v>
      </c>
      <c r="B473" s="19">
        <v>10.62</v>
      </c>
      <c r="C473" s="19">
        <v>24.6</v>
      </c>
      <c r="D473" s="28">
        <v>3.45</v>
      </c>
      <c r="E473" s="19">
        <v>4.8</v>
      </c>
    </row>
    <row r="474" spans="1:5" x14ac:dyDescent="0.25">
      <c r="A474" s="30">
        <v>10.7</v>
      </c>
      <c r="B474" s="19">
        <v>42.8</v>
      </c>
      <c r="C474" s="19">
        <v>23.024999999999999</v>
      </c>
      <c r="D474" s="28">
        <v>3.3574999999999999</v>
      </c>
      <c r="E474" s="19">
        <v>8.625</v>
      </c>
    </row>
    <row r="475" spans="1:5" x14ac:dyDescent="0.25">
      <c r="A475" s="30">
        <v>10.72</v>
      </c>
      <c r="B475" s="19">
        <v>10.72</v>
      </c>
      <c r="C475" s="19">
        <v>24.2</v>
      </c>
      <c r="D475" s="28">
        <v>3.56</v>
      </c>
      <c r="E475" s="19">
        <v>7.4</v>
      </c>
    </row>
    <row r="476" spans="1:5" x14ac:dyDescent="0.25">
      <c r="A476" s="30">
        <v>10.8</v>
      </c>
      <c r="B476" s="19">
        <v>10.8</v>
      </c>
      <c r="C476" s="19">
        <v>24.8</v>
      </c>
      <c r="D476" s="28">
        <v>3.45</v>
      </c>
      <c r="E476" s="19">
        <v>7.4</v>
      </c>
    </row>
    <row r="477" spans="1:5" x14ac:dyDescent="0.25">
      <c r="A477" s="30">
        <v>10.88</v>
      </c>
      <c r="B477" s="19">
        <v>10.88</v>
      </c>
      <c r="C477" s="19">
        <v>24</v>
      </c>
      <c r="D477" s="28">
        <v>3.34</v>
      </c>
      <c r="E477" s="19">
        <v>7.1</v>
      </c>
    </row>
    <row r="478" spans="1:5" x14ac:dyDescent="0.25">
      <c r="A478" s="30">
        <v>10.9</v>
      </c>
      <c r="B478" s="19">
        <v>43.6</v>
      </c>
      <c r="C478" s="19">
        <v>24.5</v>
      </c>
      <c r="D478" s="28">
        <v>3.4074999999999998</v>
      </c>
      <c r="E478" s="19">
        <v>8.2250000000000014</v>
      </c>
    </row>
    <row r="479" spans="1:5" x14ac:dyDescent="0.25">
      <c r="A479" s="30">
        <v>11</v>
      </c>
      <c r="B479" s="19">
        <v>11</v>
      </c>
      <c r="C479" s="19">
        <v>23</v>
      </c>
      <c r="D479" s="28">
        <v>3.4</v>
      </c>
      <c r="E479" s="19">
        <v>10.4</v>
      </c>
    </row>
    <row r="480" spans="1:5" x14ac:dyDescent="0.25">
      <c r="A480" s="30">
        <v>11.06</v>
      </c>
      <c r="B480" s="19">
        <v>11.06</v>
      </c>
      <c r="C480" s="19">
        <v>24</v>
      </c>
      <c r="D480" s="28">
        <v>3.43</v>
      </c>
      <c r="E480" s="19">
        <v>7.2750000000000004</v>
      </c>
    </row>
    <row r="481" spans="1:5" x14ac:dyDescent="0.25">
      <c r="A481" s="30">
        <v>11.07</v>
      </c>
      <c r="B481" s="19">
        <v>11.07</v>
      </c>
      <c r="C481" s="19">
        <v>24.8</v>
      </c>
      <c r="D481" s="28">
        <v>3.18</v>
      </c>
      <c r="E481" s="19">
        <v>12.2</v>
      </c>
    </row>
    <row r="482" spans="1:5" x14ac:dyDescent="0.25">
      <c r="A482" s="30">
        <v>11.1</v>
      </c>
      <c r="B482" s="19">
        <v>22.2</v>
      </c>
      <c r="C482" s="19">
        <v>24.7</v>
      </c>
      <c r="D482" s="28">
        <v>3.4</v>
      </c>
      <c r="E482" s="19">
        <v>8.75</v>
      </c>
    </row>
    <row r="483" spans="1:5" x14ac:dyDescent="0.25">
      <c r="A483" s="30">
        <v>11.2</v>
      </c>
      <c r="B483" s="19">
        <v>11.2</v>
      </c>
      <c r="C483" s="19">
        <v>25.8</v>
      </c>
      <c r="D483" s="28">
        <v>3.69</v>
      </c>
      <c r="E483" s="19">
        <v>5.7</v>
      </c>
    </row>
    <row r="484" spans="1:5" x14ac:dyDescent="0.25">
      <c r="A484" s="30">
        <v>11.3</v>
      </c>
      <c r="B484" s="19">
        <v>11.3</v>
      </c>
      <c r="C484" s="19">
        <v>27.1</v>
      </c>
      <c r="D484" s="28">
        <v>3.18</v>
      </c>
      <c r="E484" s="19">
        <v>10.4</v>
      </c>
    </row>
    <row r="485" spans="1:5" x14ac:dyDescent="0.25">
      <c r="A485" s="30">
        <v>11.34</v>
      </c>
      <c r="B485" s="19">
        <v>11.34</v>
      </c>
      <c r="C485" s="19">
        <v>23</v>
      </c>
      <c r="D485" s="28">
        <v>3.08</v>
      </c>
      <c r="E485" s="19">
        <v>9.8000000000000007</v>
      </c>
    </row>
    <row r="486" spans="1:5" x14ac:dyDescent="0.25">
      <c r="A486" s="30">
        <v>11.378500000000001</v>
      </c>
      <c r="B486" s="19">
        <v>11.378500000000001</v>
      </c>
      <c r="C486" s="19">
        <v>23.8</v>
      </c>
      <c r="D486" s="28">
        <v>3.13</v>
      </c>
      <c r="E486" s="19">
        <v>11.7</v>
      </c>
    </row>
    <row r="487" spans="1:5" x14ac:dyDescent="0.25">
      <c r="A487" s="30">
        <v>11.4</v>
      </c>
      <c r="B487" s="19">
        <v>11.4</v>
      </c>
      <c r="C487" s="19">
        <v>23.6</v>
      </c>
      <c r="D487" s="28">
        <v>3.19</v>
      </c>
      <c r="E487" s="19">
        <v>7.6</v>
      </c>
    </row>
    <row r="488" spans="1:5" x14ac:dyDescent="0.25">
      <c r="A488" s="30">
        <v>11.5</v>
      </c>
      <c r="B488" s="19">
        <v>23</v>
      </c>
      <c r="C488" s="19">
        <v>24</v>
      </c>
      <c r="D488" s="28">
        <v>3.45</v>
      </c>
      <c r="E488" s="19">
        <v>6.95</v>
      </c>
    </row>
    <row r="489" spans="1:5" x14ac:dyDescent="0.25">
      <c r="A489" s="30">
        <v>11.53</v>
      </c>
      <c r="B489" s="19">
        <v>23.06</v>
      </c>
      <c r="C489" s="19">
        <v>22.700000000000003</v>
      </c>
      <c r="D489" s="28">
        <v>3</v>
      </c>
      <c r="E489" s="19">
        <v>10.4</v>
      </c>
    </row>
    <row r="490" spans="1:5" x14ac:dyDescent="0.25">
      <c r="A490" s="30">
        <v>11.6965</v>
      </c>
      <c r="B490" s="19">
        <v>11.6965</v>
      </c>
      <c r="C490" s="19">
        <v>22.8</v>
      </c>
      <c r="D490" s="28">
        <v>3.16</v>
      </c>
      <c r="E490" s="19">
        <v>11.2</v>
      </c>
    </row>
    <row r="491" spans="1:5" x14ac:dyDescent="0.25">
      <c r="A491" s="30">
        <v>11.7</v>
      </c>
      <c r="B491" s="19">
        <v>11.7</v>
      </c>
      <c r="C491" s="19">
        <v>26</v>
      </c>
      <c r="D491" s="28">
        <v>3.83</v>
      </c>
      <c r="E491" s="19">
        <v>6.7</v>
      </c>
    </row>
    <row r="492" spans="1:5" x14ac:dyDescent="0.25">
      <c r="A492" s="30">
        <v>11.8</v>
      </c>
      <c r="B492" s="19">
        <v>23.6</v>
      </c>
      <c r="C492" s="19">
        <v>24.4</v>
      </c>
      <c r="D492" s="28">
        <v>3.3650000000000002</v>
      </c>
      <c r="E492" s="19">
        <v>6.5</v>
      </c>
    </row>
    <row r="493" spans="1:5" x14ac:dyDescent="0.25">
      <c r="A493" s="30">
        <v>11.9</v>
      </c>
      <c r="B493" s="19">
        <v>23.8</v>
      </c>
      <c r="C493" s="19">
        <v>23</v>
      </c>
      <c r="D493" s="28">
        <v>3.1850000000000001</v>
      </c>
      <c r="E493" s="19">
        <v>10.100000000000001</v>
      </c>
    </row>
    <row r="494" spans="1:5" x14ac:dyDescent="0.25">
      <c r="A494" s="30">
        <v>12</v>
      </c>
      <c r="B494" s="19">
        <v>12</v>
      </c>
      <c r="C494" s="19">
        <v>23.6</v>
      </c>
      <c r="D494" s="28">
        <v>3.24</v>
      </c>
      <c r="E494" s="19">
        <v>8.6</v>
      </c>
    </row>
    <row r="495" spans="1:5" x14ac:dyDescent="0.25">
      <c r="A495" s="30">
        <v>12.16</v>
      </c>
      <c r="B495" s="19">
        <v>12.16</v>
      </c>
      <c r="C495" s="19">
        <v>19.399999999999999</v>
      </c>
      <c r="D495" s="28">
        <v>3.37</v>
      </c>
      <c r="E495" s="19">
        <v>7.2</v>
      </c>
    </row>
    <row r="496" spans="1:5" x14ac:dyDescent="0.25">
      <c r="A496" s="30">
        <v>12.2</v>
      </c>
      <c r="B496" s="19">
        <v>12.2</v>
      </c>
      <c r="C496" s="19">
        <v>24.1</v>
      </c>
      <c r="D496" s="28">
        <v>3.39</v>
      </c>
      <c r="E496" s="19">
        <v>8.9</v>
      </c>
    </row>
    <row r="497" spans="1:5" x14ac:dyDescent="0.25">
      <c r="A497" s="30">
        <v>12.27</v>
      </c>
      <c r="B497" s="19">
        <v>12.27</v>
      </c>
      <c r="C497" s="19">
        <v>22</v>
      </c>
      <c r="D497" s="28">
        <v>2.81</v>
      </c>
      <c r="E497" s="19">
        <v>13.9</v>
      </c>
    </row>
    <row r="498" spans="1:5" x14ac:dyDescent="0.25">
      <c r="A498" s="30">
        <v>12.3</v>
      </c>
      <c r="B498" s="19">
        <v>12.3</v>
      </c>
      <c r="C498" s="19">
        <v>22</v>
      </c>
      <c r="D498" s="28">
        <v>3.32</v>
      </c>
      <c r="E498" s="19">
        <v>8.5</v>
      </c>
    </row>
    <row r="499" spans="1:5" x14ac:dyDescent="0.25">
      <c r="A499" s="30">
        <v>12.36</v>
      </c>
      <c r="B499" s="19">
        <v>12.36</v>
      </c>
      <c r="C499" s="19">
        <v>21.8</v>
      </c>
      <c r="D499" s="28">
        <v>2.68</v>
      </c>
      <c r="E499" s="19">
        <v>12.9</v>
      </c>
    </row>
    <row r="500" spans="1:5" x14ac:dyDescent="0.25">
      <c r="A500" s="30">
        <v>12.4</v>
      </c>
      <c r="B500" s="19">
        <v>24.8</v>
      </c>
      <c r="C500" s="19">
        <v>23.4</v>
      </c>
      <c r="D500" s="28">
        <v>3.18</v>
      </c>
      <c r="E500" s="19">
        <v>8.3999999999999986</v>
      </c>
    </row>
    <row r="501" spans="1:5" x14ac:dyDescent="0.25">
      <c r="A501" s="30">
        <v>12.5</v>
      </c>
      <c r="B501" s="19">
        <v>37.5</v>
      </c>
      <c r="C501" s="19">
        <v>25</v>
      </c>
      <c r="D501" s="28">
        <v>3.22</v>
      </c>
      <c r="E501" s="19">
        <v>9.1</v>
      </c>
    </row>
    <row r="502" spans="1:5" x14ac:dyDescent="0.25">
      <c r="A502" s="30">
        <v>12.52</v>
      </c>
      <c r="B502" s="19">
        <v>12.52</v>
      </c>
      <c r="C502" s="19">
        <v>23.2</v>
      </c>
      <c r="D502" s="28">
        <v>3.56</v>
      </c>
      <c r="E502" s="19">
        <v>7.5</v>
      </c>
    </row>
    <row r="503" spans="1:5" x14ac:dyDescent="0.25">
      <c r="A503" s="30">
        <v>12.63</v>
      </c>
      <c r="B503" s="19">
        <v>12.63</v>
      </c>
      <c r="C503" s="19">
        <v>22.8</v>
      </c>
      <c r="D503" s="28">
        <v>2.91</v>
      </c>
      <c r="E503" s="19">
        <v>12</v>
      </c>
    </row>
    <row r="504" spans="1:5" x14ac:dyDescent="0.25">
      <c r="A504" s="30">
        <v>12.75</v>
      </c>
      <c r="B504" s="19">
        <v>12.75</v>
      </c>
      <c r="C504" s="19">
        <v>24</v>
      </c>
      <c r="D504" s="28">
        <v>3.3</v>
      </c>
      <c r="E504" s="19">
        <v>7.1</v>
      </c>
    </row>
    <row r="505" spans="1:5" x14ac:dyDescent="0.25">
      <c r="A505" s="30">
        <v>12.77</v>
      </c>
      <c r="B505" s="19">
        <v>12.77</v>
      </c>
      <c r="C505" s="19">
        <v>23.4</v>
      </c>
      <c r="D505" s="28">
        <v>3.15</v>
      </c>
      <c r="E505" s="19">
        <v>10.199999999999999</v>
      </c>
    </row>
    <row r="506" spans="1:5" x14ac:dyDescent="0.25">
      <c r="A506" s="30">
        <v>12.9</v>
      </c>
      <c r="B506" s="19">
        <v>12.9</v>
      </c>
      <c r="C506" s="19">
        <v>27</v>
      </c>
      <c r="D506" s="28">
        <v>3.68</v>
      </c>
      <c r="E506" s="19">
        <v>8.5</v>
      </c>
    </row>
    <row r="507" spans="1:5" x14ac:dyDescent="0.25">
      <c r="A507" s="30">
        <v>13</v>
      </c>
      <c r="B507" s="19">
        <v>13</v>
      </c>
      <c r="C507" s="19">
        <v>24</v>
      </c>
      <c r="D507" s="28">
        <v>3.52</v>
      </c>
      <c r="E507" s="19">
        <v>6.5</v>
      </c>
    </row>
    <row r="508" spans="1:5" x14ac:dyDescent="0.25">
      <c r="A508" s="30">
        <v>13.07</v>
      </c>
      <c r="B508" s="19">
        <v>13.07</v>
      </c>
      <c r="C508" s="19">
        <v>24.133333333333336</v>
      </c>
      <c r="D508" s="28">
        <v>3.5700000000000003</v>
      </c>
      <c r="E508" s="19">
        <v>5.1099999999999994</v>
      </c>
    </row>
    <row r="509" spans="1:5" x14ac:dyDescent="0.25">
      <c r="A509" s="30">
        <v>13.1</v>
      </c>
      <c r="B509" s="19">
        <v>39.299999999999997</v>
      </c>
      <c r="C509" s="19">
        <v>22.833333333333332</v>
      </c>
      <c r="D509" s="28">
        <v>3.3533333333333335</v>
      </c>
      <c r="E509" s="19">
        <v>7.8666666666666663</v>
      </c>
    </row>
    <row r="510" spans="1:5" x14ac:dyDescent="0.25">
      <c r="A510" s="30">
        <v>13.2</v>
      </c>
      <c r="B510" s="19">
        <v>26.4</v>
      </c>
      <c r="C510" s="19">
        <v>22.75</v>
      </c>
      <c r="D510" s="28">
        <v>3.1950000000000003</v>
      </c>
      <c r="E510" s="19">
        <v>9.6</v>
      </c>
    </row>
    <row r="511" spans="1:5" x14ac:dyDescent="0.25">
      <c r="A511" s="30">
        <v>13.246</v>
      </c>
      <c r="B511" s="19">
        <v>13.246</v>
      </c>
      <c r="C511" s="19">
        <v>20.5</v>
      </c>
      <c r="D511" s="28">
        <v>2.85</v>
      </c>
      <c r="E511" s="19">
        <v>13.8</v>
      </c>
    </row>
    <row r="512" spans="1:5" x14ac:dyDescent="0.25">
      <c r="A512" s="30">
        <v>13.3</v>
      </c>
      <c r="B512" s="19">
        <v>53.2</v>
      </c>
      <c r="C512" s="19">
        <v>25.499999999999996</v>
      </c>
      <c r="D512" s="28">
        <v>3.3224999999999998</v>
      </c>
      <c r="E512" s="19">
        <v>9.125</v>
      </c>
    </row>
    <row r="513" spans="1:5" x14ac:dyDescent="0.25">
      <c r="A513" s="30">
        <v>13.4</v>
      </c>
      <c r="B513" s="19">
        <v>13.4</v>
      </c>
      <c r="C513" s="19">
        <v>19</v>
      </c>
      <c r="D513" s="28">
        <v>3.39</v>
      </c>
      <c r="E513" s="19">
        <v>5.7</v>
      </c>
    </row>
    <row r="514" spans="1:5" x14ac:dyDescent="0.25">
      <c r="A514" s="30">
        <v>13.6</v>
      </c>
      <c r="B514" s="19">
        <v>13.6</v>
      </c>
      <c r="C514" s="19">
        <v>21.6</v>
      </c>
      <c r="D514" s="28">
        <v>3.35</v>
      </c>
      <c r="E514" s="19">
        <v>8.9</v>
      </c>
    </row>
    <row r="515" spans="1:5" x14ac:dyDescent="0.25">
      <c r="A515" s="30">
        <v>13.7675</v>
      </c>
      <c r="B515" s="19">
        <v>13.7675</v>
      </c>
      <c r="C515" s="19">
        <v>23.2</v>
      </c>
      <c r="D515" s="28">
        <v>3.25</v>
      </c>
      <c r="E515" s="19">
        <v>8.9</v>
      </c>
    </row>
    <row r="516" spans="1:5" x14ac:dyDescent="0.25">
      <c r="A516" s="30">
        <v>13.86</v>
      </c>
      <c r="B516" s="19">
        <v>13.86</v>
      </c>
      <c r="C516" s="19">
        <v>26</v>
      </c>
      <c r="D516" s="28">
        <v>3.64</v>
      </c>
      <c r="E516" s="19">
        <v>6.6</v>
      </c>
    </row>
    <row r="517" spans="1:5" x14ac:dyDescent="0.25">
      <c r="A517" s="30">
        <v>13.89</v>
      </c>
      <c r="B517" s="19">
        <v>13.89</v>
      </c>
      <c r="C517" s="19">
        <v>18.600000000000001</v>
      </c>
      <c r="D517" s="28">
        <v>3.42</v>
      </c>
      <c r="E517" s="19">
        <v>5.7</v>
      </c>
    </row>
    <row r="518" spans="1:5" x14ac:dyDescent="0.25">
      <c r="A518" s="30">
        <v>13.9</v>
      </c>
      <c r="B518" s="19">
        <v>27.8</v>
      </c>
      <c r="C518" s="19">
        <v>22.6</v>
      </c>
      <c r="D518" s="28">
        <v>3.4249999999999998</v>
      </c>
      <c r="E518" s="19">
        <v>7.35</v>
      </c>
    </row>
    <row r="519" spans="1:5" x14ac:dyDescent="0.25">
      <c r="A519" s="30">
        <v>14</v>
      </c>
      <c r="B519" s="19">
        <v>14</v>
      </c>
      <c r="C519" s="19">
        <v>21</v>
      </c>
      <c r="D519" s="28">
        <v>3.15</v>
      </c>
      <c r="E519" s="19">
        <v>8.9</v>
      </c>
    </row>
    <row r="520" spans="1:5" x14ac:dyDescent="0.25">
      <c r="A520" s="30">
        <v>14.1</v>
      </c>
      <c r="B520" s="19">
        <v>28.2</v>
      </c>
      <c r="C520" s="19">
        <v>26.6</v>
      </c>
      <c r="D520" s="28">
        <v>3.4249999999999998</v>
      </c>
      <c r="E520" s="19">
        <v>8</v>
      </c>
    </row>
    <row r="521" spans="1:5" x14ac:dyDescent="0.25">
      <c r="A521" s="30">
        <v>14.3</v>
      </c>
      <c r="B521" s="19">
        <v>57.2</v>
      </c>
      <c r="C521" s="19">
        <v>25.15</v>
      </c>
      <c r="D521" s="28">
        <v>3.6174999999999997</v>
      </c>
      <c r="E521" s="19">
        <v>7.25</v>
      </c>
    </row>
    <row r="522" spans="1:5" x14ac:dyDescent="0.25">
      <c r="A522" s="30">
        <v>14.4</v>
      </c>
      <c r="B522" s="19">
        <v>43.2</v>
      </c>
      <c r="C522" s="19">
        <v>24.400000000000002</v>
      </c>
      <c r="D522" s="28">
        <v>3.5533333333333332</v>
      </c>
      <c r="E522" s="19">
        <v>7.5999999999999988</v>
      </c>
    </row>
    <row r="523" spans="1:5" x14ac:dyDescent="0.25">
      <c r="A523" s="30">
        <v>14.6</v>
      </c>
      <c r="B523" s="19">
        <v>14.6</v>
      </c>
      <c r="C523" s="19">
        <v>29.2</v>
      </c>
      <c r="D523" s="28">
        <v>3.54</v>
      </c>
      <c r="E523" s="19">
        <v>9</v>
      </c>
    </row>
    <row r="524" spans="1:5" x14ac:dyDescent="0.25">
      <c r="A524" s="30">
        <v>14.7</v>
      </c>
      <c r="B524" s="19">
        <v>14.7</v>
      </c>
      <c r="C524" s="19">
        <v>21.4</v>
      </c>
      <c r="D524" s="28">
        <v>3.42</v>
      </c>
      <c r="E524" s="19">
        <v>7.2</v>
      </c>
    </row>
    <row r="525" spans="1:5" x14ac:dyDescent="0.25">
      <c r="A525" s="30">
        <v>14.8</v>
      </c>
      <c r="B525" s="19">
        <v>14.8</v>
      </c>
      <c r="C525" s="19">
        <v>22.6</v>
      </c>
      <c r="D525" s="28">
        <v>3.36</v>
      </c>
      <c r="E525" s="19">
        <v>6.9</v>
      </c>
    </row>
    <row r="526" spans="1:5" x14ac:dyDescent="0.25">
      <c r="A526" s="30">
        <v>15</v>
      </c>
      <c r="B526" s="19">
        <v>15</v>
      </c>
      <c r="C526" s="19">
        <v>23.7</v>
      </c>
      <c r="D526" s="28">
        <v>3.7</v>
      </c>
      <c r="E526" s="19">
        <v>4.8</v>
      </c>
    </row>
    <row r="527" spans="1:5" x14ac:dyDescent="0.25">
      <c r="A527" s="30">
        <v>15.029500000000001</v>
      </c>
      <c r="B527" s="19">
        <v>15.029500000000001</v>
      </c>
      <c r="C527" s="19">
        <v>23.3</v>
      </c>
      <c r="D527" s="28">
        <v>3.13</v>
      </c>
      <c r="E527" s="19">
        <v>10.9</v>
      </c>
    </row>
    <row r="528" spans="1:5" x14ac:dyDescent="0.25">
      <c r="A528" s="30">
        <v>15.2</v>
      </c>
      <c r="B528" s="19">
        <v>15.2</v>
      </c>
      <c r="C528" s="19">
        <v>25.4</v>
      </c>
      <c r="D528" s="28">
        <v>3.4</v>
      </c>
      <c r="E528" s="19">
        <v>6.9</v>
      </c>
    </row>
    <row r="529" spans="1:5" x14ac:dyDescent="0.25">
      <c r="A529" s="30">
        <v>15.3</v>
      </c>
      <c r="B529" s="19">
        <v>15.3</v>
      </c>
      <c r="C529" s="19">
        <v>22.6</v>
      </c>
      <c r="D529" s="28">
        <v>3.28</v>
      </c>
      <c r="E529" s="19">
        <v>7.9</v>
      </c>
    </row>
    <row r="530" spans="1:5" x14ac:dyDescent="0.25">
      <c r="A530" s="30">
        <v>15.7</v>
      </c>
      <c r="B530" s="19">
        <v>15.7</v>
      </c>
      <c r="C530" s="19">
        <v>28</v>
      </c>
      <c r="D530" s="28">
        <v>3.91</v>
      </c>
      <c r="E530" s="19">
        <v>5.4</v>
      </c>
    </row>
    <row r="531" spans="1:5" x14ac:dyDescent="0.25">
      <c r="A531" s="30">
        <v>15.8</v>
      </c>
      <c r="B531" s="19">
        <v>31.6</v>
      </c>
      <c r="C531" s="19">
        <v>23.9</v>
      </c>
      <c r="D531" s="28">
        <v>3.3650000000000002</v>
      </c>
      <c r="E531" s="19">
        <v>8.9499999999999993</v>
      </c>
    </row>
    <row r="532" spans="1:5" x14ac:dyDescent="0.25">
      <c r="A532" s="30">
        <v>15.9</v>
      </c>
      <c r="B532" s="19">
        <v>31.8</v>
      </c>
      <c r="C532" s="19">
        <v>22.1</v>
      </c>
      <c r="D532" s="28">
        <v>3.1950000000000003</v>
      </c>
      <c r="E532" s="19">
        <v>10.199999999999999</v>
      </c>
    </row>
    <row r="533" spans="1:5" x14ac:dyDescent="0.25">
      <c r="A533" s="30">
        <v>16</v>
      </c>
      <c r="B533" s="19">
        <v>48</v>
      </c>
      <c r="C533" s="19">
        <v>23.133333333333336</v>
      </c>
      <c r="D533" s="28">
        <v>3.34</v>
      </c>
      <c r="E533" s="19">
        <v>7.833333333333333</v>
      </c>
    </row>
    <row r="534" spans="1:5" x14ac:dyDescent="0.25">
      <c r="A534" s="30">
        <v>16.100000000000001</v>
      </c>
      <c r="B534" s="19">
        <v>16.100000000000001</v>
      </c>
      <c r="C534" s="19">
        <v>24.2</v>
      </c>
      <c r="D534" s="28">
        <v>3.38</v>
      </c>
      <c r="E534" s="19">
        <v>6.7</v>
      </c>
    </row>
    <row r="535" spans="1:5" x14ac:dyDescent="0.25">
      <c r="A535" s="30">
        <v>16.3</v>
      </c>
      <c r="B535" s="19">
        <v>16.3</v>
      </c>
      <c r="C535" s="19">
        <v>43.2</v>
      </c>
      <c r="D535" s="28">
        <v>3.23</v>
      </c>
      <c r="E535" s="19">
        <v>15.5</v>
      </c>
    </row>
    <row r="536" spans="1:5" x14ac:dyDescent="0.25">
      <c r="A536" s="30">
        <v>16.329999999999998</v>
      </c>
      <c r="B536" s="19">
        <v>16.329999999999998</v>
      </c>
      <c r="C536" s="19">
        <v>20.666666666666668</v>
      </c>
      <c r="D536" s="28">
        <v>3.2266666666666666</v>
      </c>
      <c r="E536" s="19">
        <v>10.4</v>
      </c>
    </row>
    <row r="537" spans="1:5" x14ac:dyDescent="0.25">
      <c r="A537" s="30">
        <v>16.399999999999999</v>
      </c>
      <c r="B537" s="19">
        <v>16.399999999999999</v>
      </c>
      <c r="C537" s="19">
        <v>23.2</v>
      </c>
      <c r="D537" s="28">
        <v>3.48</v>
      </c>
      <c r="E537" s="19">
        <v>8.1999999999999993</v>
      </c>
    </row>
    <row r="538" spans="1:5" x14ac:dyDescent="0.25">
      <c r="A538" s="30">
        <v>16.63</v>
      </c>
      <c r="B538" s="19">
        <v>16.63</v>
      </c>
      <c r="C538" s="19">
        <v>22</v>
      </c>
      <c r="D538" s="28">
        <v>3.33</v>
      </c>
      <c r="E538" s="19">
        <v>8.9</v>
      </c>
    </row>
    <row r="539" spans="1:5" x14ac:dyDescent="0.25">
      <c r="A539" s="30">
        <v>16.8</v>
      </c>
      <c r="B539" s="19">
        <v>16.8</v>
      </c>
      <c r="C539" s="19">
        <v>20.2</v>
      </c>
      <c r="D539" s="28">
        <v>3.58</v>
      </c>
      <c r="E539" s="19">
        <v>5.9</v>
      </c>
    </row>
    <row r="540" spans="1:5" x14ac:dyDescent="0.25">
      <c r="A540" s="30">
        <v>17.2</v>
      </c>
      <c r="B540" s="19">
        <v>17.2</v>
      </c>
      <c r="C540" s="19">
        <v>25</v>
      </c>
      <c r="D540" s="28">
        <v>3.65</v>
      </c>
      <c r="E540" s="19">
        <v>4.8</v>
      </c>
    </row>
    <row r="541" spans="1:5" x14ac:dyDescent="0.25">
      <c r="A541" s="30">
        <v>17.25</v>
      </c>
      <c r="B541" s="19">
        <v>17.25</v>
      </c>
      <c r="C541" s="19">
        <v>18.899999999999999</v>
      </c>
      <c r="D541" s="28">
        <v>3.395</v>
      </c>
      <c r="E541" s="19">
        <v>6.0649999999999995</v>
      </c>
    </row>
    <row r="542" spans="1:5" x14ac:dyDescent="0.25">
      <c r="A542" s="30">
        <v>17.399999999999999</v>
      </c>
      <c r="B542" s="19">
        <v>17.399999999999999</v>
      </c>
      <c r="C542" s="19">
        <v>22.4</v>
      </c>
      <c r="D542" s="28">
        <v>3.35</v>
      </c>
      <c r="E542" s="19">
        <v>8.6999999999999993</v>
      </c>
    </row>
    <row r="543" spans="1:5" x14ac:dyDescent="0.25">
      <c r="A543" s="30">
        <v>17.5</v>
      </c>
      <c r="B543" s="19">
        <v>35</v>
      </c>
      <c r="C543" s="19">
        <v>20</v>
      </c>
      <c r="D543" s="28">
        <v>3.24</v>
      </c>
      <c r="E543" s="19">
        <v>9.35</v>
      </c>
    </row>
    <row r="544" spans="1:5" x14ac:dyDescent="0.25">
      <c r="A544" s="30">
        <v>17.600000000000001</v>
      </c>
      <c r="B544" s="19">
        <v>17.600000000000001</v>
      </c>
      <c r="C544" s="19">
        <v>23.4</v>
      </c>
      <c r="D544" s="28">
        <v>3.59</v>
      </c>
      <c r="E544" s="19">
        <v>7.8</v>
      </c>
    </row>
    <row r="545" spans="1:5" x14ac:dyDescent="0.25">
      <c r="A545" s="30">
        <v>17.8</v>
      </c>
      <c r="B545" s="19">
        <v>17.8</v>
      </c>
      <c r="C545" s="19">
        <v>22</v>
      </c>
      <c r="D545" s="28">
        <v>3.4</v>
      </c>
      <c r="E545" s="19">
        <v>9.3000000000000007</v>
      </c>
    </row>
    <row r="546" spans="1:5" x14ac:dyDescent="0.25">
      <c r="A546" s="30">
        <v>17.89</v>
      </c>
      <c r="B546" s="19">
        <v>17.89</v>
      </c>
      <c r="C546" s="19">
        <v>23</v>
      </c>
      <c r="D546" s="28">
        <v>3.46</v>
      </c>
      <c r="E546" s="19">
        <v>5.7</v>
      </c>
    </row>
    <row r="547" spans="1:5" x14ac:dyDescent="0.25">
      <c r="A547" s="30">
        <v>18</v>
      </c>
      <c r="B547" s="19">
        <v>18</v>
      </c>
      <c r="C547" s="19"/>
      <c r="D547" s="28"/>
      <c r="E547" s="19"/>
    </row>
    <row r="548" spans="1:5" x14ac:dyDescent="0.25">
      <c r="A548" s="30">
        <v>18.3</v>
      </c>
      <c r="B548" s="19">
        <v>18.3</v>
      </c>
      <c r="C548" s="19">
        <v>19</v>
      </c>
      <c r="D548" s="28">
        <v>3.5</v>
      </c>
      <c r="E548" s="19">
        <v>6.2</v>
      </c>
    </row>
    <row r="549" spans="1:5" x14ac:dyDescent="0.25">
      <c r="A549" s="30">
        <v>18.8</v>
      </c>
      <c r="B549" s="19">
        <v>18.8</v>
      </c>
      <c r="C549" s="19">
        <v>25.2</v>
      </c>
      <c r="D549" s="28">
        <v>3.72</v>
      </c>
      <c r="E549" s="19">
        <v>4.9000000000000004</v>
      </c>
    </row>
    <row r="550" spans="1:5" x14ac:dyDescent="0.25">
      <c r="A550" s="30">
        <v>18.91</v>
      </c>
      <c r="B550" s="19">
        <v>18.91</v>
      </c>
      <c r="C550" s="19">
        <v>18.8</v>
      </c>
      <c r="D550" s="28">
        <v>3.05</v>
      </c>
      <c r="E550" s="19">
        <v>10.3</v>
      </c>
    </row>
    <row r="551" spans="1:5" x14ac:dyDescent="0.25">
      <c r="A551" s="30">
        <v>19.260000000000002</v>
      </c>
      <c r="B551" s="19">
        <v>19.260000000000002</v>
      </c>
      <c r="C551" s="19">
        <v>23</v>
      </c>
      <c r="D551" s="28">
        <v>3.63</v>
      </c>
      <c r="E551" s="19">
        <v>4.87</v>
      </c>
    </row>
    <row r="552" spans="1:5" x14ac:dyDescent="0.25">
      <c r="A552" s="30">
        <v>19.649999999999999</v>
      </c>
      <c r="B552" s="19">
        <v>19.649999999999999</v>
      </c>
      <c r="C552" s="19">
        <v>20</v>
      </c>
      <c r="D552" s="28">
        <v>3.1</v>
      </c>
      <c r="E552" s="19">
        <v>10.199999999999999</v>
      </c>
    </row>
    <row r="553" spans="1:5" x14ac:dyDescent="0.25">
      <c r="A553" s="30">
        <v>19.7</v>
      </c>
      <c r="B553" s="19">
        <v>39.4</v>
      </c>
      <c r="C553" s="19">
        <v>22</v>
      </c>
      <c r="D553" s="28">
        <v>3.4649999999999999</v>
      </c>
      <c r="E553" s="19">
        <v>6.4</v>
      </c>
    </row>
    <row r="554" spans="1:5" x14ac:dyDescent="0.25">
      <c r="A554" s="30">
        <v>20.100000000000001</v>
      </c>
      <c r="B554" s="19">
        <v>20.100000000000001</v>
      </c>
      <c r="C554" s="19">
        <v>23</v>
      </c>
      <c r="D554" s="28">
        <v>3.41</v>
      </c>
      <c r="E554" s="19">
        <v>4.9000000000000004</v>
      </c>
    </row>
    <row r="555" spans="1:5" x14ac:dyDescent="0.25">
      <c r="A555" s="30">
        <v>20.27</v>
      </c>
      <c r="B555" s="19">
        <v>20.27</v>
      </c>
      <c r="C555" s="19">
        <v>21.6</v>
      </c>
      <c r="D555" s="28">
        <v>3.3449999999999998</v>
      </c>
      <c r="E555" s="19">
        <v>6.82</v>
      </c>
    </row>
    <row r="556" spans="1:5" x14ac:dyDescent="0.25">
      <c r="A556" s="30">
        <v>21</v>
      </c>
      <c r="B556" s="19">
        <v>21</v>
      </c>
      <c r="C556" s="19">
        <v>23</v>
      </c>
      <c r="D556" s="28">
        <v>3.48</v>
      </c>
      <c r="E556" s="19">
        <v>5.2</v>
      </c>
    </row>
    <row r="557" spans="1:5" x14ac:dyDescent="0.25">
      <c r="A557" s="30">
        <v>21.2</v>
      </c>
      <c r="B557" s="19">
        <v>21.2</v>
      </c>
      <c r="C557" s="19">
        <v>24.6</v>
      </c>
      <c r="D557" s="28">
        <v>3.69</v>
      </c>
      <c r="E557" s="19">
        <v>4.5</v>
      </c>
    </row>
    <row r="558" spans="1:5" x14ac:dyDescent="0.25">
      <c r="A558" s="30">
        <v>21.3</v>
      </c>
      <c r="B558" s="19">
        <v>21.3</v>
      </c>
      <c r="C558" s="19">
        <v>21.8</v>
      </c>
      <c r="D558" s="28">
        <v>3.25</v>
      </c>
      <c r="E558" s="19">
        <v>10.95</v>
      </c>
    </row>
    <row r="559" spans="1:5" x14ac:dyDescent="0.25">
      <c r="A559" s="30">
        <v>21.42</v>
      </c>
      <c r="B559" s="19">
        <v>21.42</v>
      </c>
      <c r="C559" s="19">
        <v>19.600000000000001</v>
      </c>
      <c r="D559" s="28">
        <v>2.9</v>
      </c>
      <c r="E559" s="19">
        <v>12.3</v>
      </c>
    </row>
    <row r="560" spans="1:5" x14ac:dyDescent="0.25">
      <c r="A560" s="30">
        <v>21.7</v>
      </c>
      <c r="B560" s="19">
        <v>21.7</v>
      </c>
      <c r="C560" s="19">
        <v>23.2</v>
      </c>
      <c r="D560" s="28">
        <v>3.74</v>
      </c>
      <c r="E560" s="19">
        <v>4.7</v>
      </c>
    </row>
    <row r="561" spans="1:5" x14ac:dyDescent="0.25">
      <c r="A561" s="30">
        <v>21.75</v>
      </c>
      <c r="B561" s="19">
        <v>21.75</v>
      </c>
      <c r="C561" s="19">
        <v>21.6</v>
      </c>
      <c r="D561" s="28">
        <v>3.0350000000000001</v>
      </c>
      <c r="E561" s="19">
        <v>10.175000000000001</v>
      </c>
    </row>
    <row r="562" spans="1:5" x14ac:dyDescent="0.25">
      <c r="A562" s="30">
        <v>22.6</v>
      </c>
      <c r="B562" s="19">
        <v>22.6</v>
      </c>
      <c r="C562" s="19">
        <v>23.4</v>
      </c>
      <c r="D562" s="28">
        <v>3.38</v>
      </c>
      <c r="E562" s="19">
        <v>9.5</v>
      </c>
    </row>
    <row r="563" spans="1:5" x14ac:dyDescent="0.25">
      <c r="A563" s="30">
        <v>22.84</v>
      </c>
      <c r="B563" s="19">
        <v>22.84</v>
      </c>
      <c r="C563" s="19">
        <v>21.533333333333335</v>
      </c>
      <c r="D563" s="28">
        <v>3.1666666666666665</v>
      </c>
      <c r="E563" s="19">
        <v>9.7366666666666664</v>
      </c>
    </row>
    <row r="564" spans="1:5" x14ac:dyDescent="0.25">
      <c r="A564" s="30">
        <v>22.9</v>
      </c>
      <c r="B564" s="19">
        <v>22.9</v>
      </c>
      <c r="C564" s="19">
        <v>24.2</v>
      </c>
      <c r="D564" s="28">
        <v>3.29</v>
      </c>
      <c r="E564" s="19">
        <v>8.6</v>
      </c>
    </row>
    <row r="565" spans="1:5" x14ac:dyDescent="0.25">
      <c r="A565" s="30">
        <v>23.1</v>
      </c>
      <c r="B565" s="19">
        <v>23.1</v>
      </c>
      <c r="C565" s="19">
        <v>22.4</v>
      </c>
      <c r="D565" s="28">
        <v>3.07</v>
      </c>
      <c r="E565" s="19">
        <v>11.3</v>
      </c>
    </row>
    <row r="566" spans="1:5" x14ac:dyDescent="0.25">
      <c r="A566" s="30">
        <v>23.603000000000002</v>
      </c>
      <c r="B566" s="19">
        <v>23.603000000000002</v>
      </c>
      <c r="C566" s="19">
        <v>23</v>
      </c>
      <c r="D566" s="28">
        <v>3.08</v>
      </c>
      <c r="E566" s="19">
        <v>8.6999999999999993</v>
      </c>
    </row>
    <row r="567" spans="1:5" x14ac:dyDescent="0.25">
      <c r="A567" s="30">
        <v>23.9</v>
      </c>
      <c r="B567" s="19">
        <v>23.9</v>
      </c>
      <c r="C567" s="19">
        <v>17</v>
      </c>
      <c r="D567" s="28">
        <v>3.55</v>
      </c>
      <c r="E567" s="19">
        <v>7.5</v>
      </c>
    </row>
    <row r="568" spans="1:5" x14ac:dyDescent="0.25">
      <c r="A568" s="30">
        <v>24.3</v>
      </c>
      <c r="B568" s="19">
        <v>48.6</v>
      </c>
      <c r="C568" s="19">
        <v>22</v>
      </c>
      <c r="D568" s="28">
        <v>3.1349999999999998</v>
      </c>
      <c r="E568" s="19">
        <v>7.875</v>
      </c>
    </row>
    <row r="569" spans="1:5" x14ac:dyDescent="0.25">
      <c r="A569" s="30">
        <v>25.66</v>
      </c>
      <c r="B569" s="19">
        <v>25.66</v>
      </c>
      <c r="C569" s="19">
        <v>19.399999999999999</v>
      </c>
      <c r="D569" s="28">
        <v>3.37</v>
      </c>
      <c r="E569" s="19">
        <v>7.2</v>
      </c>
    </row>
    <row r="570" spans="1:5" x14ac:dyDescent="0.25">
      <c r="A570" s="30">
        <v>25.7</v>
      </c>
      <c r="B570" s="19">
        <v>25.7</v>
      </c>
      <c r="C570" s="19">
        <v>25</v>
      </c>
      <c r="D570" s="28">
        <v>3.64</v>
      </c>
      <c r="E570" s="19">
        <v>5.0999999999999996</v>
      </c>
    </row>
    <row r="571" spans="1:5" x14ac:dyDescent="0.25">
      <c r="A571" s="30">
        <v>26.5</v>
      </c>
      <c r="B571" s="19">
        <v>53</v>
      </c>
      <c r="C571" s="19">
        <v>26</v>
      </c>
      <c r="D571" s="28">
        <v>3.3600000000000003</v>
      </c>
      <c r="E571" s="19">
        <v>7.05</v>
      </c>
    </row>
    <row r="572" spans="1:5" x14ac:dyDescent="0.25">
      <c r="A572" s="30">
        <v>26.8</v>
      </c>
      <c r="B572" s="19">
        <v>26.8</v>
      </c>
      <c r="C572" s="19">
        <v>21.2</v>
      </c>
      <c r="D572" s="28">
        <v>3.42</v>
      </c>
      <c r="E572" s="19">
        <v>7.6</v>
      </c>
    </row>
    <row r="573" spans="1:5" x14ac:dyDescent="0.25">
      <c r="A573" s="30">
        <v>27.2</v>
      </c>
      <c r="B573" s="19">
        <v>27.2</v>
      </c>
      <c r="C573" s="19">
        <v>21.6</v>
      </c>
      <c r="D573" s="28">
        <v>3.24</v>
      </c>
      <c r="E573" s="19">
        <v>7.7</v>
      </c>
    </row>
    <row r="574" spans="1:5" x14ac:dyDescent="0.25">
      <c r="A574" s="30">
        <v>27.99</v>
      </c>
      <c r="B574" s="19">
        <v>27.99</v>
      </c>
      <c r="C574" s="19">
        <v>43.8</v>
      </c>
      <c r="D574" s="28">
        <v>2.66</v>
      </c>
      <c r="E574" s="19">
        <v>17.899999999999999</v>
      </c>
    </row>
    <row r="575" spans="1:5" x14ac:dyDescent="0.25">
      <c r="A575" s="30">
        <v>28.4</v>
      </c>
      <c r="B575" s="19">
        <v>28.4</v>
      </c>
      <c r="C575" s="19">
        <v>18.8</v>
      </c>
      <c r="D575" s="28">
        <v>3.27</v>
      </c>
      <c r="E575" s="19">
        <v>11.3</v>
      </c>
    </row>
    <row r="576" spans="1:5" x14ac:dyDescent="0.25">
      <c r="A576" s="30">
        <v>28.5</v>
      </c>
      <c r="B576" s="19">
        <v>28.5</v>
      </c>
      <c r="C576" s="19">
        <v>23</v>
      </c>
      <c r="D576" s="28">
        <v>3.29</v>
      </c>
      <c r="E576" s="19">
        <v>9.6</v>
      </c>
    </row>
    <row r="577" spans="1:5" x14ac:dyDescent="0.25">
      <c r="A577" s="30">
        <v>28.8</v>
      </c>
      <c r="B577" s="19">
        <v>28.8</v>
      </c>
      <c r="C577" s="19">
        <v>20</v>
      </c>
      <c r="D577" s="28">
        <v>3.03</v>
      </c>
      <c r="E577" s="19">
        <v>11</v>
      </c>
    </row>
    <row r="578" spans="1:5" x14ac:dyDescent="0.25">
      <c r="A578" s="30">
        <v>29.8</v>
      </c>
      <c r="B578" s="19">
        <v>29.8</v>
      </c>
      <c r="C578" s="19">
        <v>20</v>
      </c>
      <c r="D578" s="28">
        <v>3.3</v>
      </c>
      <c r="E578" s="19">
        <v>8</v>
      </c>
    </row>
    <row r="579" spans="1:5" x14ac:dyDescent="0.25">
      <c r="A579" s="30">
        <v>30.85</v>
      </c>
      <c r="B579" s="19">
        <v>30.85</v>
      </c>
      <c r="C579" s="19">
        <v>22.4</v>
      </c>
      <c r="D579" s="28">
        <v>3.09</v>
      </c>
      <c r="E579" s="19">
        <v>11.3</v>
      </c>
    </row>
    <row r="580" spans="1:5" x14ac:dyDescent="0.25">
      <c r="A580" s="30">
        <v>31.7</v>
      </c>
      <c r="B580" s="19">
        <v>31.7</v>
      </c>
      <c r="C580" s="19">
        <v>20.2</v>
      </c>
      <c r="D580" s="28">
        <v>3.4</v>
      </c>
      <c r="E580" s="19">
        <v>5.3</v>
      </c>
    </row>
    <row r="581" spans="1:5" x14ac:dyDescent="0.25">
      <c r="A581" s="30">
        <v>32.4</v>
      </c>
      <c r="B581" s="19">
        <v>32.4</v>
      </c>
      <c r="C581" s="19">
        <v>22.2</v>
      </c>
      <c r="D581" s="28">
        <v>3.11</v>
      </c>
      <c r="E581" s="19">
        <v>12.2</v>
      </c>
    </row>
    <row r="582" spans="1:5" x14ac:dyDescent="0.25">
      <c r="A582" s="30">
        <v>32.700000000000003</v>
      </c>
      <c r="B582" s="19">
        <v>32.700000000000003</v>
      </c>
      <c r="C582" s="19">
        <v>19.2</v>
      </c>
      <c r="D582" s="28">
        <v>3.38</v>
      </c>
      <c r="E582" s="19">
        <v>5.4</v>
      </c>
    </row>
    <row r="583" spans="1:5" x14ac:dyDescent="0.25">
      <c r="A583" s="30">
        <v>33</v>
      </c>
      <c r="B583" s="19">
        <v>33</v>
      </c>
      <c r="C583" s="19">
        <v>22.2</v>
      </c>
      <c r="D583" s="28">
        <v>3.08</v>
      </c>
      <c r="E583" s="19">
        <v>9.1999999999999993</v>
      </c>
    </row>
    <row r="584" spans="1:5" x14ac:dyDescent="0.25">
      <c r="A584" s="30">
        <v>35.1</v>
      </c>
      <c r="B584" s="19">
        <v>35.1</v>
      </c>
      <c r="C584" s="19">
        <v>23.2</v>
      </c>
      <c r="D584" s="28">
        <v>3.3</v>
      </c>
      <c r="E584" s="19">
        <v>7.7</v>
      </c>
    </row>
    <row r="585" spans="1:5" x14ac:dyDescent="0.25">
      <c r="A585" s="30">
        <v>35.6</v>
      </c>
      <c r="B585" s="19">
        <v>35.6</v>
      </c>
      <c r="C585" s="19">
        <v>22.4</v>
      </c>
      <c r="D585" s="28">
        <v>3.02</v>
      </c>
      <c r="E585" s="19">
        <v>11</v>
      </c>
    </row>
    <row r="586" spans="1:5" x14ac:dyDescent="0.25">
      <c r="A586" s="30">
        <v>35.64</v>
      </c>
      <c r="B586" s="19">
        <v>35.64</v>
      </c>
      <c r="C586" s="19">
        <v>19.100000000000001</v>
      </c>
      <c r="D586" s="28">
        <v>3.33</v>
      </c>
      <c r="E586" s="19">
        <v>7.2</v>
      </c>
    </row>
    <row r="587" spans="1:5" x14ac:dyDescent="0.25">
      <c r="A587" s="30">
        <v>35.799999999999997</v>
      </c>
      <c r="B587" s="19">
        <v>35.799999999999997</v>
      </c>
      <c r="C587" s="19">
        <v>23</v>
      </c>
      <c r="D587" s="28">
        <v>3.3</v>
      </c>
      <c r="E587" s="19">
        <v>10.95</v>
      </c>
    </row>
    <row r="588" spans="1:5" x14ac:dyDescent="0.25">
      <c r="A588" s="30">
        <v>36.700000000000003</v>
      </c>
      <c r="B588" s="19">
        <v>73.400000000000006</v>
      </c>
      <c r="C588" s="19">
        <v>19.649999999999999</v>
      </c>
      <c r="D588" s="28">
        <v>3.42</v>
      </c>
      <c r="E588" s="19">
        <v>5.7</v>
      </c>
    </row>
    <row r="589" spans="1:5" x14ac:dyDescent="0.25">
      <c r="A589" s="30">
        <v>37.24</v>
      </c>
      <c r="B589" s="19">
        <v>37.24</v>
      </c>
      <c r="C589" s="19">
        <v>15.6</v>
      </c>
      <c r="D589" s="28">
        <v>3.12</v>
      </c>
      <c r="E589" s="19">
        <v>10.6</v>
      </c>
    </row>
    <row r="590" spans="1:5" x14ac:dyDescent="0.25">
      <c r="A590" s="30">
        <v>37.299999999999997</v>
      </c>
      <c r="B590" s="19">
        <v>37.299999999999997</v>
      </c>
      <c r="C590" s="19">
        <v>20.8</v>
      </c>
      <c r="D590" s="28">
        <v>3.68</v>
      </c>
      <c r="E590" s="19">
        <v>6</v>
      </c>
    </row>
    <row r="591" spans="1:5" x14ac:dyDescent="0.25">
      <c r="A591" s="30">
        <v>37.700000000000003</v>
      </c>
      <c r="B591" s="19">
        <v>37.700000000000003</v>
      </c>
      <c r="C591" s="19">
        <v>21.4</v>
      </c>
      <c r="D591" s="28">
        <v>3.28</v>
      </c>
      <c r="E591" s="19">
        <v>8</v>
      </c>
    </row>
    <row r="592" spans="1:5" x14ac:dyDescent="0.25">
      <c r="A592" s="30">
        <v>38</v>
      </c>
      <c r="B592" s="19">
        <v>38</v>
      </c>
      <c r="C592" s="19">
        <v>17</v>
      </c>
      <c r="D592" s="28">
        <v>3.33</v>
      </c>
      <c r="E592" s="19">
        <v>8.6</v>
      </c>
    </row>
    <row r="593" spans="1:5" x14ac:dyDescent="0.25">
      <c r="A593" s="30">
        <v>39.44</v>
      </c>
      <c r="B593" s="19">
        <v>39.44</v>
      </c>
      <c r="C593" s="19">
        <v>19.05</v>
      </c>
      <c r="D593" s="28">
        <v>3.3725000000000005</v>
      </c>
      <c r="E593" s="19">
        <v>5.8674999999999997</v>
      </c>
    </row>
    <row r="594" spans="1:5" x14ac:dyDescent="0.25">
      <c r="A594" s="30">
        <v>46.06</v>
      </c>
      <c r="B594" s="19">
        <v>46.06</v>
      </c>
      <c r="C594" s="19">
        <v>15.2</v>
      </c>
      <c r="D594" s="28">
        <v>3.2</v>
      </c>
      <c r="E594" s="19">
        <v>8.8000000000000007</v>
      </c>
    </row>
    <row r="595" spans="1:5" x14ac:dyDescent="0.25">
      <c r="A595" s="30">
        <v>58.7</v>
      </c>
      <c r="B595" s="19">
        <v>58.7</v>
      </c>
      <c r="C595" s="19">
        <v>17.600000000000001</v>
      </c>
      <c r="D595" s="28">
        <v>3.39</v>
      </c>
      <c r="E595" s="19">
        <v>7.3</v>
      </c>
    </row>
    <row r="596" spans="1:5" x14ac:dyDescent="0.25">
      <c r="A596" s="30" t="s">
        <v>169</v>
      </c>
      <c r="B596" s="19"/>
      <c r="C596" s="19">
        <v>29.2</v>
      </c>
      <c r="D596" s="28">
        <v>3.59</v>
      </c>
      <c r="E596" s="19">
        <v>7</v>
      </c>
    </row>
    <row r="597" spans="1:5" x14ac:dyDescent="0.25">
      <c r="A597" s="18" t="s">
        <v>132</v>
      </c>
      <c r="B597" s="29">
        <v>14.030000000000001</v>
      </c>
      <c r="C597" s="29">
        <v>21.55</v>
      </c>
      <c r="D597" s="28">
        <v>3.33</v>
      </c>
      <c r="E597" s="29">
        <v>7.85</v>
      </c>
    </row>
    <row r="598" spans="1:5" x14ac:dyDescent="0.25">
      <c r="A598" s="30">
        <v>6.83</v>
      </c>
      <c r="B598" s="19">
        <v>6.83</v>
      </c>
      <c r="C598" s="19">
        <v>23</v>
      </c>
      <c r="D598" s="28">
        <v>3.36</v>
      </c>
      <c r="E598" s="19">
        <v>6.67</v>
      </c>
    </row>
    <row r="599" spans="1:5" x14ac:dyDescent="0.25">
      <c r="A599" s="30">
        <v>7.2</v>
      </c>
      <c r="B599" s="19">
        <v>7.2</v>
      </c>
      <c r="C599" s="19">
        <v>20.100000000000001</v>
      </c>
      <c r="D599" s="28">
        <v>3.3</v>
      </c>
      <c r="E599" s="19">
        <v>9.0299999999999994</v>
      </c>
    </row>
    <row r="600" spans="1:5" x14ac:dyDescent="0.25">
      <c r="A600" s="18" t="s">
        <v>118</v>
      </c>
      <c r="B600" s="19">
        <v>30.500000000000004</v>
      </c>
      <c r="C600" s="29">
        <v>21.225000000000001</v>
      </c>
      <c r="D600" s="28">
        <v>3.5275000000000003</v>
      </c>
      <c r="E600" s="29">
        <v>6.5250000000000004</v>
      </c>
    </row>
    <row r="601" spans="1:5" x14ac:dyDescent="0.25">
      <c r="A601" s="30">
        <v>5.86</v>
      </c>
      <c r="B601" s="19">
        <v>5.86</v>
      </c>
      <c r="C601" s="19">
        <v>22.4</v>
      </c>
      <c r="D601" s="28">
        <v>3.66</v>
      </c>
      <c r="E601" s="19">
        <v>5.5</v>
      </c>
    </row>
    <row r="602" spans="1:5" x14ac:dyDescent="0.25">
      <c r="A602" s="30">
        <v>7.6</v>
      </c>
      <c r="B602" s="19">
        <v>7.6</v>
      </c>
      <c r="C602" s="19">
        <v>19.399999999999999</v>
      </c>
      <c r="D602" s="28">
        <v>3.35</v>
      </c>
      <c r="E602" s="19">
        <v>8.9</v>
      </c>
    </row>
    <row r="603" spans="1:5" x14ac:dyDescent="0.25">
      <c r="A603" s="30">
        <v>8.24</v>
      </c>
      <c r="B603" s="19">
        <v>8.24</v>
      </c>
      <c r="C603" s="19">
        <v>22.5</v>
      </c>
      <c r="D603" s="28">
        <v>3.63</v>
      </c>
      <c r="E603" s="19">
        <v>5.4</v>
      </c>
    </row>
    <row r="604" spans="1:5" x14ac:dyDescent="0.25">
      <c r="A604" s="30">
        <v>8.8000000000000007</v>
      </c>
      <c r="B604" s="19">
        <v>8.8000000000000007</v>
      </c>
      <c r="C604" s="19">
        <v>20.6</v>
      </c>
      <c r="D604" s="28">
        <v>3.47</v>
      </c>
      <c r="E604" s="19">
        <v>6.3</v>
      </c>
    </row>
    <row r="605" spans="1:5" x14ac:dyDescent="0.25">
      <c r="A605" s="18" t="s">
        <v>130</v>
      </c>
      <c r="B605" s="19">
        <v>59.769999999999996</v>
      </c>
      <c r="C605" s="29">
        <v>22.333333333333336</v>
      </c>
      <c r="D605" s="28">
        <v>4.2550000000000008</v>
      </c>
      <c r="E605" s="29">
        <v>6.5083333333333337</v>
      </c>
    </row>
    <row r="606" spans="1:5" x14ac:dyDescent="0.25">
      <c r="A606" s="30">
        <v>28.38</v>
      </c>
      <c r="B606" s="19">
        <v>28.38</v>
      </c>
      <c r="C606" s="19">
        <v>22.466666666666669</v>
      </c>
      <c r="D606" s="28">
        <v>5.0200000000000005</v>
      </c>
      <c r="E606" s="19">
        <v>6.5666666666666673</v>
      </c>
    </row>
    <row r="607" spans="1:5" x14ac:dyDescent="0.25">
      <c r="A607" s="30">
        <v>31.39</v>
      </c>
      <c r="B607" s="19">
        <v>31.39</v>
      </c>
      <c r="C607" s="19">
        <v>22.2</v>
      </c>
      <c r="D607" s="28">
        <v>3.49</v>
      </c>
      <c r="E607" s="19">
        <v>6.45</v>
      </c>
    </row>
    <row r="608" spans="1:5" x14ac:dyDescent="0.25">
      <c r="A608" s="18" t="s">
        <v>169</v>
      </c>
      <c r="B608" s="19">
        <v>1246.6674999999998</v>
      </c>
      <c r="C608" s="29"/>
      <c r="D608" s="28" t="e">
        <v>#DIV/0!</v>
      </c>
      <c r="E608" s="29" t="e">
        <v>#DIV/0!</v>
      </c>
    </row>
    <row r="609" spans="1:5" x14ac:dyDescent="0.25">
      <c r="A609" s="30">
        <v>12.9</v>
      </c>
      <c r="B609" s="19">
        <v>12.9</v>
      </c>
      <c r="C609" s="19"/>
      <c r="D609" s="28"/>
      <c r="E609" s="19"/>
    </row>
    <row r="610" spans="1:5" x14ac:dyDescent="0.25">
      <c r="A610" s="30">
        <v>91.9</v>
      </c>
      <c r="B610" s="19">
        <v>91.9</v>
      </c>
      <c r="C610" s="19"/>
      <c r="D610" s="28"/>
      <c r="E610" s="19"/>
    </row>
    <row r="611" spans="1:5" x14ac:dyDescent="0.25">
      <c r="A611" s="30">
        <v>113.56</v>
      </c>
      <c r="B611" s="19">
        <v>113.56</v>
      </c>
      <c r="C611" s="19"/>
      <c r="D611" s="28"/>
      <c r="E611" s="19"/>
    </row>
    <row r="612" spans="1:5" x14ac:dyDescent="0.25">
      <c r="A612" s="30">
        <v>143.69999999999999</v>
      </c>
      <c r="B612" s="19">
        <v>143.69999999999999</v>
      </c>
      <c r="C612" s="19"/>
      <c r="D612" s="28"/>
      <c r="E612" s="19"/>
    </row>
    <row r="613" spans="1:5" x14ac:dyDescent="0.25">
      <c r="A613" s="30">
        <v>156.26</v>
      </c>
      <c r="B613" s="19">
        <v>156.26</v>
      </c>
      <c r="C613" s="19"/>
      <c r="D613" s="28"/>
      <c r="E613" s="19"/>
    </row>
    <row r="614" spans="1:5" x14ac:dyDescent="0.25">
      <c r="A614" s="30">
        <v>160.19800000000001</v>
      </c>
      <c r="B614" s="19">
        <v>160.19800000000001</v>
      </c>
      <c r="C614" s="19"/>
      <c r="D614" s="28"/>
      <c r="E614" s="19"/>
    </row>
    <row r="615" spans="1:5" x14ac:dyDescent="0.25">
      <c r="A615" s="30">
        <v>174.9</v>
      </c>
      <c r="B615" s="19">
        <v>174.9</v>
      </c>
      <c r="C615" s="19"/>
      <c r="D615" s="28"/>
      <c r="E615" s="19"/>
    </row>
    <row r="616" spans="1:5" x14ac:dyDescent="0.25">
      <c r="A616" s="30">
        <v>188.0095</v>
      </c>
      <c r="B616" s="19">
        <v>188.0095</v>
      </c>
      <c r="C616" s="19"/>
      <c r="D616" s="28"/>
      <c r="E616" s="19"/>
    </row>
    <row r="617" spans="1:5" x14ac:dyDescent="0.25">
      <c r="A617" s="30">
        <v>205.24</v>
      </c>
      <c r="B617" s="19">
        <v>205.24</v>
      </c>
      <c r="C617" s="19"/>
      <c r="D617" s="28"/>
      <c r="E617" s="19"/>
    </row>
    <row r="618" spans="1:5" x14ac:dyDescent="0.25">
      <c r="A618" s="30" t="s">
        <v>169</v>
      </c>
      <c r="B618" s="19"/>
      <c r="C618" s="19"/>
      <c r="D618" s="28" t="e">
        <v>#DIV/0!</v>
      </c>
      <c r="E618" s="19" t="e">
        <v>#DIV/0!</v>
      </c>
    </row>
    <row r="619" spans="1:5" x14ac:dyDescent="0.25">
      <c r="A619" s="18" t="s">
        <v>56</v>
      </c>
      <c r="B619" s="29">
        <v>9275.7530000000006</v>
      </c>
      <c r="C619" s="29">
        <v>23.76534935469514</v>
      </c>
      <c r="D619" s="28">
        <v>3.4104192393735997</v>
      </c>
      <c r="E619" s="29">
        <v>8.1090866935483721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AJ113"/>
  <sheetViews>
    <sheetView workbookViewId="0">
      <pane xSplit="10" ySplit="1" topLeftCell="K84" activePane="bottomRight" state="frozen"/>
      <selection pane="topRight" activeCell="K1" sqref="K1"/>
      <selection pane="bottomLeft" activeCell="A2" sqref="A2"/>
      <selection pane="bottomRight" activeCell="O97" sqref="O97"/>
    </sheetView>
  </sheetViews>
  <sheetFormatPr defaultRowHeight="15" x14ac:dyDescent="0.25"/>
  <cols>
    <col min="2" max="2" width="10.5703125" customWidth="1"/>
    <col min="3" max="3" width="4.5703125" customWidth="1"/>
    <col min="4" max="4" width="19" bestFit="1" customWidth="1"/>
    <col min="5" max="6" width="4.5703125" customWidth="1"/>
    <col min="7" max="7" width="9" bestFit="1" customWidth="1"/>
    <col min="8" max="8" width="5.42578125" bestFit="1" customWidth="1"/>
    <col min="9" max="9" width="6.140625" bestFit="1" customWidth="1"/>
    <col min="10" max="10" width="16.85546875" bestFit="1" customWidth="1"/>
    <col min="11" max="11" width="6.85546875" bestFit="1" customWidth="1"/>
    <col min="12" max="13" width="7.85546875" bestFit="1" customWidth="1"/>
    <col min="14" max="14" width="5.85546875" bestFit="1" customWidth="1"/>
    <col min="15" max="15" width="6" bestFit="1" customWidth="1"/>
    <col min="16" max="16" width="10.85546875" bestFit="1" customWidth="1"/>
    <col min="17" max="18" width="4.5703125" customWidth="1"/>
    <col min="20" max="20" width="4.5703125" customWidth="1"/>
    <col min="21" max="21" width="5.5703125" bestFit="1" customWidth="1"/>
    <col min="22" max="22" width="6.140625" bestFit="1" customWidth="1"/>
    <col min="23" max="23" width="15.42578125" bestFit="1" customWidth="1"/>
    <col min="24" max="24" width="4.5703125" customWidth="1"/>
    <col min="26" max="26" width="4.5703125" customWidth="1"/>
    <col min="27" max="27" width="9.42578125" bestFit="1" customWidth="1"/>
    <col min="28" max="28" width="8.140625" bestFit="1" customWidth="1"/>
    <col min="29" max="29" width="8.42578125" bestFit="1" customWidth="1"/>
    <col min="30" max="30" width="19.85546875" customWidth="1"/>
    <col min="31" max="31" width="6.140625" bestFit="1" customWidth="1"/>
    <col min="32" max="32" width="11" bestFit="1" customWidth="1"/>
  </cols>
  <sheetData>
    <row r="1" spans="2:36" x14ac:dyDescent="0.25">
      <c r="B1" s="20" t="s">
        <v>90</v>
      </c>
      <c r="D1" s="20" t="s">
        <v>0</v>
      </c>
      <c r="G1" s="25" t="s">
        <v>90</v>
      </c>
      <c r="H1" s="25" t="s">
        <v>81</v>
      </c>
      <c r="I1" s="25" t="s">
        <v>82</v>
      </c>
      <c r="J1" s="25" t="s">
        <v>0</v>
      </c>
      <c r="K1" s="25" t="s">
        <v>1</v>
      </c>
      <c r="L1" s="25" t="s">
        <v>142</v>
      </c>
      <c r="M1" s="25" t="s">
        <v>143</v>
      </c>
      <c r="N1" s="25" t="s">
        <v>144</v>
      </c>
      <c r="O1" s="25" t="s">
        <v>145</v>
      </c>
      <c r="P1" s="25" t="s">
        <v>85</v>
      </c>
      <c r="S1" s="23" t="s">
        <v>90</v>
      </c>
      <c r="T1" s="24"/>
      <c r="U1" s="23" t="s">
        <v>81</v>
      </c>
      <c r="V1" s="23" t="s">
        <v>82</v>
      </c>
      <c r="W1" s="23" t="s">
        <v>0</v>
      </c>
      <c r="X1" s="24"/>
      <c r="Y1" s="24"/>
      <c r="AA1" s="25" t="s">
        <v>90</v>
      </c>
      <c r="AB1" s="25" t="s">
        <v>81</v>
      </c>
      <c r="AC1" s="25" t="s">
        <v>82</v>
      </c>
      <c r="AD1" s="25" t="s">
        <v>0</v>
      </c>
      <c r="AE1" s="25" t="s">
        <v>1</v>
      </c>
      <c r="AF1" s="25" t="s">
        <v>142</v>
      </c>
      <c r="AG1" s="25" t="s">
        <v>143</v>
      </c>
      <c r="AH1" s="25" t="s">
        <v>144</v>
      </c>
      <c r="AI1" s="25" t="s">
        <v>145</v>
      </c>
      <c r="AJ1" s="25" t="s">
        <v>85</v>
      </c>
    </row>
    <row r="2" spans="2:36" x14ac:dyDescent="0.25">
      <c r="B2" s="21" t="s">
        <v>91</v>
      </c>
      <c r="D2" s="21" t="s">
        <v>100</v>
      </c>
      <c r="G2" s="4" t="s">
        <v>120</v>
      </c>
      <c r="H2" s="4" t="s">
        <v>134</v>
      </c>
      <c r="I2" s="4"/>
      <c r="J2" s="4" t="s">
        <v>78</v>
      </c>
      <c r="K2" s="4"/>
      <c r="L2" s="1"/>
      <c r="M2" s="1"/>
      <c r="N2" s="5">
        <v>2</v>
      </c>
      <c r="O2" s="4"/>
      <c r="P2" s="3"/>
      <c r="U2" s="16"/>
      <c r="V2" s="16"/>
      <c r="W2" s="16" t="s">
        <v>114</v>
      </c>
      <c r="AA2" s="4" t="s">
        <v>97</v>
      </c>
      <c r="AB2" s="4">
        <v>1</v>
      </c>
      <c r="AC2" s="4"/>
      <c r="AD2" s="4" t="s">
        <v>114</v>
      </c>
      <c r="AE2" s="4"/>
      <c r="AF2" s="4"/>
      <c r="AG2" s="4"/>
      <c r="AH2" s="5"/>
      <c r="AI2" s="4"/>
      <c r="AJ2" s="3"/>
    </row>
    <row r="3" spans="2:36" x14ac:dyDescent="0.25">
      <c r="B3" s="21" t="s">
        <v>97</v>
      </c>
      <c r="D3" s="21" t="s">
        <v>101</v>
      </c>
      <c r="G3" s="4" t="s">
        <v>120</v>
      </c>
      <c r="H3" s="4" t="s">
        <v>134</v>
      </c>
      <c r="I3" s="4"/>
      <c r="J3" s="4" t="s">
        <v>73</v>
      </c>
      <c r="K3" s="4"/>
      <c r="L3" s="1"/>
      <c r="M3" s="1"/>
      <c r="N3" s="5">
        <v>6</v>
      </c>
      <c r="O3" s="4"/>
      <c r="P3" s="3"/>
      <c r="AA3" s="4" t="s">
        <v>115</v>
      </c>
      <c r="AB3" s="4">
        <v>1</v>
      </c>
      <c r="AC3" s="4">
        <v>1</v>
      </c>
      <c r="AD3" s="4" t="s">
        <v>114</v>
      </c>
      <c r="AE3" s="4" t="s">
        <v>36</v>
      </c>
      <c r="AF3" s="4">
        <v>2006</v>
      </c>
      <c r="AG3" s="4" t="s">
        <v>61</v>
      </c>
      <c r="AH3" s="5">
        <v>0.2</v>
      </c>
      <c r="AI3" s="3">
        <v>300</v>
      </c>
      <c r="AJ3" s="3">
        <v>1500</v>
      </c>
    </row>
    <row r="4" spans="2:36" x14ac:dyDescent="0.25">
      <c r="B4" s="21" t="s">
        <v>115</v>
      </c>
      <c r="D4" s="21" t="s">
        <v>7</v>
      </c>
      <c r="G4" s="4" t="s">
        <v>120</v>
      </c>
      <c r="H4" s="4" t="s">
        <v>134</v>
      </c>
      <c r="I4" s="4"/>
      <c r="J4" s="4" t="s">
        <v>43</v>
      </c>
      <c r="K4" s="4"/>
      <c r="L4" s="1"/>
      <c r="M4" s="1"/>
      <c r="N4" s="5">
        <v>4</v>
      </c>
      <c r="O4" s="4"/>
      <c r="P4" s="3"/>
      <c r="AA4" s="4" t="s">
        <v>115</v>
      </c>
      <c r="AB4" s="4">
        <v>1</v>
      </c>
      <c r="AC4" s="4">
        <v>4</v>
      </c>
      <c r="AD4" s="4" t="s">
        <v>114</v>
      </c>
      <c r="AE4" s="4" t="s">
        <v>36</v>
      </c>
      <c r="AF4" s="4">
        <v>2006</v>
      </c>
      <c r="AG4" s="4" t="s">
        <v>34</v>
      </c>
      <c r="AH4" s="5">
        <v>2.95</v>
      </c>
      <c r="AI4" s="3">
        <v>2926</v>
      </c>
      <c r="AJ4" s="3">
        <v>975</v>
      </c>
    </row>
    <row r="5" spans="2:36" x14ac:dyDescent="0.25">
      <c r="B5" s="21" t="s">
        <v>117</v>
      </c>
      <c r="D5" s="21" t="s">
        <v>16</v>
      </c>
      <c r="G5" s="4" t="s">
        <v>131</v>
      </c>
      <c r="H5" s="4" t="s">
        <v>134</v>
      </c>
      <c r="I5" s="4"/>
      <c r="J5" s="4" t="s">
        <v>43</v>
      </c>
      <c r="K5" s="4"/>
      <c r="L5" s="4"/>
      <c r="M5" s="4"/>
      <c r="N5" s="5"/>
      <c r="O5" s="4"/>
      <c r="P5" s="3"/>
      <c r="AA5" s="4" t="s">
        <v>115</v>
      </c>
      <c r="AB5" s="4">
        <v>1</v>
      </c>
      <c r="AC5" s="4">
        <v>5</v>
      </c>
      <c r="AD5" s="4" t="s">
        <v>114</v>
      </c>
      <c r="AE5" s="4" t="s">
        <v>36</v>
      </c>
      <c r="AF5" s="4" t="s">
        <v>59</v>
      </c>
      <c r="AG5" s="4" t="s">
        <v>58</v>
      </c>
      <c r="AH5" s="5">
        <v>10</v>
      </c>
      <c r="AI5" s="3">
        <v>4600</v>
      </c>
      <c r="AJ5" s="3">
        <v>460</v>
      </c>
    </row>
    <row r="6" spans="2:36" x14ac:dyDescent="0.25">
      <c r="B6" s="21" t="s">
        <v>122</v>
      </c>
      <c r="D6" s="21" t="s">
        <v>20</v>
      </c>
      <c r="G6" s="4" t="s">
        <v>127</v>
      </c>
      <c r="H6" s="4" t="s">
        <v>135</v>
      </c>
      <c r="I6" s="4"/>
      <c r="J6" s="4" t="s">
        <v>78</v>
      </c>
      <c r="K6" s="4"/>
      <c r="L6" s="4"/>
      <c r="M6" s="4"/>
      <c r="N6" s="5"/>
      <c r="O6" s="4"/>
      <c r="P6" s="3"/>
      <c r="AA6" s="4" t="s">
        <v>91</v>
      </c>
      <c r="AB6" s="4">
        <v>3</v>
      </c>
      <c r="AC6" s="4">
        <v>2</v>
      </c>
      <c r="AD6" s="4" t="s">
        <v>114</v>
      </c>
      <c r="AE6" s="4" t="s">
        <v>36</v>
      </c>
      <c r="AF6" s="4">
        <v>1965</v>
      </c>
      <c r="AG6" s="4" t="s">
        <v>37</v>
      </c>
      <c r="AH6" s="5">
        <v>1.25</v>
      </c>
      <c r="AI6" s="3">
        <v>597</v>
      </c>
      <c r="AJ6" s="3">
        <v>477.6</v>
      </c>
    </row>
    <row r="7" spans="2:36" x14ac:dyDescent="0.25">
      <c r="B7" s="21" t="s">
        <v>150</v>
      </c>
      <c r="D7" s="21" t="s">
        <v>64</v>
      </c>
      <c r="G7" s="4" t="s">
        <v>127</v>
      </c>
      <c r="H7" s="4" t="s">
        <v>135</v>
      </c>
      <c r="I7" s="4"/>
      <c r="J7" s="4" t="s">
        <v>73</v>
      </c>
      <c r="K7" s="4"/>
      <c r="L7" s="4"/>
      <c r="M7" s="4"/>
      <c r="N7" s="5"/>
      <c r="O7" s="4"/>
      <c r="P7" s="3"/>
      <c r="AA7" s="4" t="s">
        <v>91</v>
      </c>
      <c r="AB7" s="4">
        <v>4</v>
      </c>
      <c r="AC7" s="4">
        <v>4</v>
      </c>
      <c r="AD7" s="4" t="s">
        <v>114</v>
      </c>
      <c r="AE7" s="4" t="s">
        <v>36</v>
      </c>
      <c r="AF7" s="4">
        <v>1965</v>
      </c>
      <c r="AG7" s="4" t="s">
        <v>37</v>
      </c>
      <c r="AH7" s="5">
        <v>1.6</v>
      </c>
      <c r="AI7" s="3">
        <v>581</v>
      </c>
      <c r="AJ7" s="3">
        <v>363.125</v>
      </c>
    </row>
    <row r="8" spans="2:36" x14ac:dyDescent="0.25">
      <c r="B8" s="21" t="s">
        <v>120</v>
      </c>
      <c r="D8" s="21" t="s">
        <v>70</v>
      </c>
      <c r="G8" s="4" t="s">
        <v>125</v>
      </c>
      <c r="H8" s="4" t="s">
        <v>134</v>
      </c>
      <c r="I8" s="4"/>
      <c r="J8" s="4" t="s">
        <v>73</v>
      </c>
      <c r="K8" s="4"/>
      <c r="L8" s="4"/>
      <c r="M8" s="4"/>
      <c r="N8" s="5">
        <v>2.5</v>
      </c>
      <c r="O8" s="4"/>
      <c r="P8" s="3"/>
      <c r="AA8" s="4"/>
      <c r="AB8" s="4"/>
      <c r="AC8" s="4"/>
      <c r="AD8" s="4"/>
      <c r="AE8" s="4"/>
      <c r="AF8" s="4"/>
      <c r="AG8" s="4"/>
      <c r="AH8" s="5"/>
      <c r="AI8" s="4"/>
      <c r="AJ8" s="3"/>
    </row>
    <row r="9" spans="2:36" x14ac:dyDescent="0.25">
      <c r="B9" s="21" t="s">
        <v>131</v>
      </c>
      <c r="D9" s="21" t="s">
        <v>78</v>
      </c>
      <c r="G9" s="4" t="s">
        <v>125</v>
      </c>
      <c r="H9" s="4" t="s">
        <v>134</v>
      </c>
      <c r="I9" s="4"/>
      <c r="J9" s="4" t="s">
        <v>43</v>
      </c>
      <c r="K9" s="4"/>
      <c r="L9" s="4"/>
      <c r="M9" s="4"/>
      <c r="N9" s="5">
        <v>4.5</v>
      </c>
      <c r="O9" s="4"/>
      <c r="P9" s="3"/>
      <c r="AA9" s="4"/>
      <c r="AB9" s="4"/>
      <c r="AC9" s="4"/>
      <c r="AD9" s="4"/>
      <c r="AE9" s="4"/>
      <c r="AF9" s="4"/>
      <c r="AG9" s="4"/>
      <c r="AH9" s="5"/>
      <c r="AI9" s="4"/>
      <c r="AJ9" s="3"/>
    </row>
    <row r="10" spans="2:36" x14ac:dyDescent="0.25">
      <c r="B10" s="21" t="s">
        <v>127</v>
      </c>
      <c r="D10" s="21" t="s">
        <v>114</v>
      </c>
      <c r="G10" s="4" t="s">
        <v>119</v>
      </c>
      <c r="H10" s="4" t="s">
        <v>134</v>
      </c>
      <c r="I10" s="4"/>
      <c r="J10" s="4" t="s">
        <v>70</v>
      </c>
      <c r="K10" s="4"/>
      <c r="L10" s="1"/>
      <c r="M10" s="1"/>
      <c r="N10" s="5">
        <v>11.2</v>
      </c>
      <c r="O10" s="4"/>
      <c r="P10" s="3"/>
      <c r="AA10" s="4"/>
      <c r="AB10" s="4"/>
      <c r="AC10" s="4"/>
      <c r="AD10" s="4"/>
      <c r="AE10" s="4"/>
      <c r="AF10" s="1"/>
      <c r="AG10" s="1"/>
      <c r="AH10" s="5"/>
      <c r="AI10" s="4"/>
      <c r="AJ10" s="3"/>
    </row>
    <row r="11" spans="2:36" x14ac:dyDescent="0.25">
      <c r="B11" s="21" t="s">
        <v>125</v>
      </c>
      <c r="D11" s="21" t="s">
        <v>38</v>
      </c>
      <c r="G11" s="4" t="s">
        <v>119</v>
      </c>
      <c r="H11" s="4" t="s">
        <v>134</v>
      </c>
      <c r="I11" s="4"/>
      <c r="J11" s="4" t="s">
        <v>72</v>
      </c>
      <c r="K11" s="4"/>
      <c r="L11" s="1"/>
      <c r="M11" s="1"/>
      <c r="N11" s="5">
        <v>3.8</v>
      </c>
      <c r="O11" s="4"/>
      <c r="P11" s="3"/>
      <c r="AA11" s="4"/>
      <c r="AB11" s="4"/>
      <c r="AC11" s="4"/>
      <c r="AD11" s="4"/>
      <c r="AE11" s="4"/>
      <c r="AF11" s="1"/>
      <c r="AG11" s="1"/>
      <c r="AH11" s="5"/>
      <c r="AI11" s="4"/>
      <c r="AJ11" s="3"/>
    </row>
    <row r="12" spans="2:36" x14ac:dyDescent="0.25">
      <c r="B12" s="21" t="s">
        <v>119</v>
      </c>
      <c r="D12" s="21" t="s">
        <v>23</v>
      </c>
      <c r="G12" s="4" t="s">
        <v>119</v>
      </c>
      <c r="H12" s="4" t="s">
        <v>134</v>
      </c>
      <c r="I12" s="4"/>
      <c r="J12" s="4" t="s">
        <v>43</v>
      </c>
      <c r="K12" s="4"/>
      <c r="L12" s="1"/>
      <c r="M12" s="1"/>
      <c r="N12" s="5">
        <v>5.0999999999999996</v>
      </c>
      <c r="O12" s="4"/>
      <c r="P12" s="3"/>
      <c r="AA12" s="4"/>
      <c r="AB12" s="4"/>
      <c r="AC12" s="4"/>
      <c r="AD12" s="4"/>
      <c r="AE12" s="4"/>
      <c r="AF12" s="1"/>
      <c r="AG12" s="1"/>
      <c r="AH12" s="5"/>
      <c r="AI12" s="4"/>
      <c r="AJ12" s="3"/>
    </row>
    <row r="13" spans="2:36" x14ac:dyDescent="0.25">
      <c r="B13" s="21" t="s">
        <v>129</v>
      </c>
      <c r="D13" s="21" t="s">
        <v>25</v>
      </c>
      <c r="G13" s="4" t="s">
        <v>129</v>
      </c>
      <c r="H13" s="4" t="s">
        <v>134</v>
      </c>
      <c r="I13" s="4"/>
      <c r="J13" s="4" t="s">
        <v>26</v>
      </c>
      <c r="K13" s="4"/>
      <c r="L13" s="4"/>
      <c r="M13" s="4"/>
      <c r="N13" s="5"/>
      <c r="O13" s="4"/>
      <c r="P13" s="3"/>
      <c r="AA13" s="4"/>
      <c r="AB13" s="4"/>
      <c r="AC13" s="4"/>
      <c r="AD13" s="4"/>
      <c r="AE13" s="4"/>
      <c r="AF13" s="4"/>
      <c r="AG13" s="4"/>
      <c r="AH13" s="5"/>
      <c r="AI13" s="4"/>
      <c r="AJ13" s="3"/>
    </row>
    <row r="14" spans="2:36" x14ac:dyDescent="0.25">
      <c r="B14" s="21" t="s">
        <v>121</v>
      </c>
      <c r="D14" s="21" t="s">
        <v>26</v>
      </c>
      <c r="G14" s="4" t="s">
        <v>121</v>
      </c>
      <c r="H14" s="4" t="s">
        <v>134</v>
      </c>
      <c r="I14" s="4"/>
      <c r="J14" s="4" t="s">
        <v>78</v>
      </c>
      <c r="K14" s="4">
        <v>49</v>
      </c>
      <c r="L14" s="4">
        <v>2001</v>
      </c>
      <c r="M14" s="4" t="s">
        <v>75</v>
      </c>
      <c r="N14" s="5">
        <v>4</v>
      </c>
      <c r="O14" s="4"/>
      <c r="P14" s="3"/>
      <c r="AA14" s="4"/>
      <c r="AB14" s="4"/>
      <c r="AC14" s="4"/>
      <c r="AD14" s="4"/>
      <c r="AE14" s="4"/>
      <c r="AF14" s="4"/>
      <c r="AG14" s="4"/>
      <c r="AH14" s="5"/>
      <c r="AI14" s="4"/>
      <c r="AJ14" s="3"/>
    </row>
    <row r="15" spans="2:36" x14ac:dyDescent="0.25">
      <c r="B15" s="21" t="s">
        <v>132</v>
      </c>
      <c r="D15" s="21" t="s">
        <v>73</v>
      </c>
      <c r="G15" s="4" t="s">
        <v>97</v>
      </c>
      <c r="H15" s="4">
        <v>1</v>
      </c>
      <c r="I15" s="4">
        <v>1</v>
      </c>
      <c r="J15" s="4" t="s">
        <v>64</v>
      </c>
      <c r="K15" s="4">
        <v>6</v>
      </c>
      <c r="L15" s="4">
        <v>1984</v>
      </c>
      <c r="M15" s="4" t="s">
        <v>65</v>
      </c>
      <c r="N15" s="5">
        <v>2.81</v>
      </c>
      <c r="O15" s="4">
        <v>2755</v>
      </c>
      <c r="P15" s="3">
        <v>1027</v>
      </c>
      <c r="AA15" s="4"/>
      <c r="AB15" s="4"/>
      <c r="AC15" s="4"/>
      <c r="AD15" s="4"/>
      <c r="AE15" s="4"/>
      <c r="AF15" s="4"/>
      <c r="AG15" s="4"/>
      <c r="AH15" s="5"/>
      <c r="AI15" s="4"/>
      <c r="AJ15" s="3"/>
    </row>
    <row r="16" spans="2:36" x14ac:dyDescent="0.25">
      <c r="B16" s="21" t="s">
        <v>118</v>
      </c>
      <c r="D16" s="21" t="s">
        <v>43</v>
      </c>
      <c r="G16" s="4" t="s">
        <v>97</v>
      </c>
      <c r="H16" s="4">
        <v>1</v>
      </c>
      <c r="I16" s="4">
        <v>2</v>
      </c>
      <c r="J16" s="4" t="s">
        <v>64</v>
      </c>
      <c r="K16" s="4">
        <v>667</v>
      </c>
      <c r="L16" s="4">
        <v>1977</v>
      </c>
      <c r="M16" s="4" t="s">
        <v>65</v>
      </c>
      <c r="N16" s="5">
        <v>2.41</v>
      </c>
      <c r="O16" s="4">
        <v>2500</v>
      </c>
      <c r="P16" s="3">
        <v>1184</v>
      </c>
      <c r="AA16" s="4"/>
      <c r="AB16" s="4"/>
      <c r="AC16" s="4"/>
      <c r="AD16" s="4"/>
      <c r="AE16" s="4"/>
      <c r="AF16" s="4"/>
      <c r="AG16" s="4"/>
      <c r="AH16" s="5"/>
      <c r="AI16" s="4"/>
      <c r="AJ16" s="3"/>
    </row>
    <row r="17" spans="2:36" x14ac:dyDescent="0.25">
      <c r="B17" s="21" t="s">
        <v>130</v>
      </c>
      <c r="D17" s="21" t="s">
        <v>28</v>
      </c>
      <c r="G17" s="4" t="s">
        <v>97</v>
      </c>
      <c r="H17" s="4">
        <v>1</v>
      </c>
      <c r="I17" s="4">
        <v>3</v>
      </c>
      <c r="J17" s="4" t="s">
        <v>20</v>
      </c>
      <c r="K17" s="4">
        <v>220</v>
      </c>
      <c r="L17" s="4">
        <v>2006</v>
      </c>
      <c r="M17" s="4" t="s">
        <v>34</v>
      </c>
      <c r="N17" s="5">
        <v>5.04</v>
      </c>
      <c r="O17" s="4">
        <v>8946</v>
      </c>
      <c r="P17" s="3">
        <v>1775</v>
      </c>
      <c r="AA17" s="4"/>
      <c r="AB17" s="4"/>
      <c r="AC17" s="4"/>
      <c r="AD17" s="4"/>
      <c r="AE17" s="4"/>
      <c r="AF17" s="4"/>
      <c r="AG17" s="4"/>
      <c r="AH17" s="5"/>
      <c r="AI17" s="4"/>
      <c r="AJ17" s="3"/>
    </row>
    <row r="18" spans="2:36" x14ac:dyDescent="0.25">
      <c r="B18" s="21" t="s">
        <v>128</v>
      </c>
      <c r="D18" s="21" t="s">
        <v>31</v>
      </c>
      <c r="G18" s="4" t="s">
        <v>97</v>
      </c>
      <c r="H18" s="4">
        <v>1</v>
      </c>
      <c r="I18" s="4">
        <v>4</v>
      </c>
      <c r="J18" s="4" t="s">
        <v>43</v>
      </c>
      <c r="K18" s="4">
        <v>115</v>
      </c>
      <c r="L18" s="4">
        <v>1998</v>
      </c>
      <c r="M18" s="4" t="s">
        <v>67</v>
      </c>
      <c r="N18" s="5">
        <v>2.65</v>
      </c>
      <c r="O18" s="4">
        <v>3200</v>
      </c>
      <c r="P18" s="3">
        <v>1208</v>
      </c>
      <c r="AA18" s="4"/>
      <c r="AB18" s="4"/>
      <c r="AC18" s="4"/>
      <c r="AD18" s="4"/>
      <c r="AE18" s="4"/>
      <c r="AF18" s="4"/>
      <c r="AG18" s="4"/>
      <c r="AH18" s="5"/>
      <c r="AI18" s="4"/>
      <c r="AJ18" s="3"/>
    </row>
    <row r="19" spans="2:36" x14ac:dyDescent="0.25">
      <c r="B19" s="21" t="s">
        <v>126</v>
      </c>
      <c r="D19" s="21" t="s">
        <v>140</v>
      </c>
      <c r="G19" s="4" t="s">
        <v>97</v>
      </c>
      <c r="H19" s="4">
        <v>1</v>
      </c>
      <c r="I19" s="4">
        <v>5</v>
      </c>
      <c r="J19" s="4" t="s">
        <v>43</v>
      </c>
      <c r="K19" s="4">
        <v>828</v>
      </c>
      <c r="L19" s="4">
        <v>2006</v>
      </c>
      <c r="M19" s="4" t="s">
        <v>34</v>
      </c>
      <c r="N19" s="5">
        <v>1.04</v>
      </c>
      <c r="O19" s="4">
        <v>1838</v>
      </c>
      <c r="P19" s="3">
        <v>1767</v>
      </c>
      <c r="AA19" s="4"/>
      <c r="AB19" s="4"/>
      <c r="AC19" s="4"/>
      <c r="AD19" s="4"/>
      <c r="AE19" s="4"/>
      <c r="AF19" s="4"/>
      <c r="AG19" s="4"/>
      <c r="AH19" s="5"/>
      <c r="AI19" s="4"/>
      <c r="AJ19" s="3"/>
    </row>
    <row r="20" spans="2:36" x14ac:dyDescent="0.25">
      <c r="B20" s="21" t="s">
        <v>116</v>
      </c>
      <c r="D20" s="21" t="s">
        <v>99</v>
      </c>
      <c r="G20" s="4" t="s">
        <v>97</v>
      </c>
      <c r="H20" s="4">
        <v>1</v>
      </c>
      <c r="I20" s="4"/>
      <c r="J20" s="4" t="s">
        <v>114</v>
      </c>
      <c r="K20" s="4"/>
      <c r="L20" s="4"/>
      <c r="M20" s="4"/>
      <c r="N20" s="5"/>
      <c r="O20" s="4"/>
      <c r="P20" s="3"/>
      <c r="AA20" s="4"/>
      <c r="AB20" s="4"/>
      <c r="AC20" s="4"/>
      <c r="AD20" s="4"/>
      <c r="AE20" s="4"/>
      <c r="AF20" s="4"/>
      <c r="AG20" s="4"/>
      <c r="AH20" s="5"/>
      <c r="AI20" s="4"/>
      <c r="AJ20" s="3"/>
    </row>
    <row r="21" spans="2:36" x14ac:dyDescent="0.25">
      <c r="B21" s="22" t="s">
        <v>160</v>
      </c>
      <c r="D21" s="21" t="s">
        <v>57</v>
      </c>
      <c r="G21" s="4" t="s">
        <v>97</v>
      </c>
      <c r="H21" s="4">
        <v>2</v>
      </c>
      <c r="I21" s="4">
        <v>1</v>
      </c>
      <c r="J21" s="4" t="s">
        <v>28</v>
      </c>
      <c r="K21" s="4">
        <v>49</v>
      </c>
      <c r="L21" s="4">
        <v>2006</v>
      </c>
      <c r="M21" s="4" t="s">
        <v>34</v>
      </c>
      <c r="N21" s="5">
        <v>0.68</v>
      </c>
      <c r="O21" s="4">
        <v>1132</v>
      </c>
      <c r="P21" s="3">
        <v>1664</v>
      </c>
      <c r="AA21" s="4"/>
      <c r="AB21" s="4"/>
      <c r="AC21" s="4"/>
      <c r="AD21" s="4"/>
      <c r="AE21" s="4"/>
      <c r="AF21" s="4"/>
      <c r="AG21" s="4"/>
      <c r="AH21" s="5"/>
      <c r="AI21" s="4"/>
      <c r="AJ21" s="3"/>
    </row>
    <row r="22" spans="2:36" x14ac:dyDescent="0.25">
      <c r="B22" s="22" t="s">
        <v>162</v>
      </c>
      <c r="D22" s="21" t="s">
        <v>55</v>
      </c>
      <c r="G22" s="4" t="s">
        <v>97</v>
      </c>
      <c r="H22" s="4">
        <v>2</v>
      </c>
      <c r="I22" s="4">
        <v>2</v>
      </c>
      <c r="J22" s="4" t="s">
        <v>28</v>
      </c>
      <c r="K22" s="4">
        <v>49</v>
      </c>
      <c r="L22" s="4">
        <v>2006</v>
      </c>
      <c r="M22" s="4" t="s">
        <v>34</v>
      </c>
      <c r="N22" s="5">
        <v>1.58</v>
      </c>
      <c r="O22" s="4">
        <v>2737</v>
      </c>
      <c r="P22" s="3">
        <v>1732</v>
      </c>
      <c r="AA22" s="4"/>
      <c r="AB22" s="4"/>
      <c r="AC22" s="4"/>
      <c r="AD22" s="4"/>
      <c r="AE22" s="4"/>
      <c r="AF22" s="4"/>
      <c r="AG22" s="4"/>
      <c r="AH22" s="5"/>
      <c r="AI22" s="4"/>
      <c r="AJ22" s="3"/>
    </row>
    <row r="23" spans="2:36" x14ac:dyDescent="0.25">
      <c r="B23" s="22" t="s">
        <v>163</v>
      </c>
      <c r="D23" s="22" t="s">
        <v>166</v>
      </c>
      <c r="G23" s="4" t="s">
        <v>97</v>
      </c>
      <c r="H23" s="4">
        <v>2</v>
      </c>
      <c r="I23" s="4">
        <v>3</v>
      </c>
      <c r="J23" s="4" t="s">
        <v>78</v>
      </c>
      <c r="K23" s="4">
        <v>47</v>
      </c>
      <c r="L23" s="4">
        <v>2006</v>
      </c>
      <c r="M23" s="4" t="s">
        <v>34</v>
      </c>
      <c r="N23" s="5">
        <v>0.57999999999999996</v>
      </c>
      <c r="O23" s="4">
        <v>1040</v>
      </c>
      <c r="P23" s="3">
        <v>1793</v>
      </c>
      <c r="AA23" s="4"/>
      <c r="AB23" s="4"/>
      <c r="AC23" s="4"/>
      <c r="AD23" s="4"/>
      <c r="AE23" s="4"/>
      <c r="AF23" s="4"/>
      <c r="AG23" s="4"/>
      <c r="AH23" s="5"/>
      <c r="AI23" s="4"/>
      <c r="AJ23" s="3"/>
    </row>
    <row r="24" spans="2:36" x14ac:dyDescent="0.25">
      <c r="B24" s="22" t="s">
        <v>165</v>
      </c>
      <c r="D24" s="22" t="s">
        <v>168</v>
      </c>
      <c r="G24" s="4" t="s">
        <v>97</v>
      </c>
      <c r="H24" s="4">
        <v>2</v>
      </c>
      <c r="I24" s="4">
        <v>4</v>
      </c>
      <c r="J24" s="4" t="s">
        <v>28</v>
      </c>
      <c r="K24" s="4">
        <v>49</v>
      </c>
      <c r="L24" s="4">
        <v>2006</v>
      </c>
      <c r="M24" s="4" t="s">
        <v>34</v>
      </c>
      <c r="N24" s="5">
        <v>0.21</v>
      </c>
      <c r="O24" s="4">
        <v>403</v>
      </c>
      <c r="P24" s="3">
        <v>1919</v>
      </c>
      <c r="AA24" s="4"/>
      <c r="AB24" s="4"/>
      <c r="AC24" s="4"/>
      <c r="AD24" s="4"/>
      <c r="AE24" s="4"/>
      <c r="AF24" s="4"/>
      <c r="AG24" s="4"/>
      <c r="AH24" s="5"/>
      <c r="AI24" s="4"/>
      <c r="AJ24" s="3"/>
    </row>
    <row r="25" spans="2:36" x14ac:dyDescent="0.25">
      <c r="B25" s="22" t="s">
        <v>167</v>
      </c>
      <c r="D25" s="22"/>
      <c r="G25" s="4" t="s">
        <v>97</v>
      </c>
      <c r="H25" s="4">
        <v>2</v>
      </c>
      <c r="I25" s="4">
        <v>5</v>
      </c>
      <c r="J25" s="4" t="s">
        <v>43</v>
      </c>
      <c r="K25" s="4">
        <v>667</v>
      </c>
      <c r="L25" s="4">
        <v>2006</v>
      </c>
      <c r="M25" s="4" t="s">
        <v>34</v>
      </c>
      <c r="N25" s="5">
        <v>1.31</v>
      </c>
      <c r="O25" s="4">
        <v>2461</v>
      </c>
      <c r="P25" s="3">
        <v>1878</v>
      </c>
      <c r="AA25" s="4"/>
      <c r="AB25" s="4"/>
      <c r="AC25" s="4"/>
      <c r="AD25" s="4"/>
      <c r="AE25" s="4"/>
      <c r="AF25" s="4"/>
      <c r="AG25" s="4"/>
      <c r="AH25" s="5"/>
      <c r="AI25" s="4"/>
      <c r="AJ25" s="3"/>
    </row>
    <row r="26" spans="2:36" x14ac:dyDescent="0.25">
      <c r="B26" s="22"/>
      <c r="D26" s="22"/>
      <c r="G26" s="4" t="s">
        <v>97</v>
      </c>
      <c r="H26" s="4">
        <v>2</v>
      </c>
      <c r="I26" s="4">
        <v>6</v>
      </c>
      <c r="J26" s="4" t="s">
        <v>43</v>
      </c>
      <c r="K26" s="4">
        <v>777</v>
      </c>
      <c r="L26" s="4">
        <v>2006</v>
      </c>
      <c r="M26" s="4" t="s">
        <v>34</v>
      </c>
      <c r="N26" s="5">
        <v>1.22</v>
      </c>
      <c r="O26" s="4">
        <v>2209</v>
      </c>
      <c r="P26" s="3">
        <v>1820</v>
      </c>
      <c r="AA26" s="4"/>
      <c r="AB26" s="4"/>
      <c r="AC26" s="4"/>
      <c r="AD26" s="4"/>
      <c r="AE26" s="4"/>
      <c r="AF26" s="4"/>
      <c r="AG26" s="4"/>
      <c r="AH26" s="5"/>
      <c r="AI26" s="4"/>
      <c r="AJ26" s="3"/>
    </row>
    <row r="27" spans="2:36" x14ac:dyDescent="0.25">
      <c r="B27" s="22"/>
      <c r="D27" s="22"/>
      <c r="G27" s="4" t="s">
        <v>97</v>
      </c>
      <c r="H27" s="4">
        <v>2</v>
      </c>
      <c r="I27" s="4">
        <v>7</v>
      </c>
      <c r="J27" s="4" t="s">
        <v>43</v>
      </c>
      <c r="K27" s="4">
        <v>777</v>
      </c>
      <c r="L27" s="4">
        <v>2006</v>
      </c>
      <c r="M27" s="4" t="s">
        <v>34</v>
      </c>
      <c r="N27" s="5">
        <v>0.45</v>
      </c>
      <c r="O27" s="4">
        <v>702</v>
      </c>
      <c r="P27" s="3">
        <v>1560</v>
      </c>
      <c r="AA27" s="4"/>
      <c r="AB27" s="4"/>
      <c r="AC27" s="4"/>
      <c r="AD27" s="4"/>
      <c r="AE27" s="4"/>
      <c r="AF27" s="4"/>
      <c r="AG27" s="4"/>
      <c r="AH27" s="5"/>
      <c r="AI27" s="4"/>
      <c r="AJ27" s="3"/>
    </row>
    <row r="28" spans="2:36" x14ac:dyDescent="0.25">
      <c r="B28" s="22"/>
      <c r="D28" s="22"/>
      <c r="G28" s="4" t="s">
        <v>97</v>
      </c>
      <c r="H28" s="4">
        <v>2</v>
      </c>
      <c r="I28" s="4">
        <v>8</v>
      </c>
      <c r="J28" s="4" t="s">
        <v>43</v>
      </c>
      <c r="K28" s="4">
        <v>828</v>
      </c>
      <c r="L28" s="4">
        <v>2006</v>
      </c>
      <c r="M28" s="4" t="s">
        <v>34</v>
      </c>
      <c r="N28" s="5">
        <v>0.32</v>
      </c>
      <c r="O28" s="4">
        <v>656</v>
      </c>
      <c r="P28" s="3">
        <v>2050</v>
      </c>
      <c r="AA28" s="4"/>
      <c r="AB28" s="4"/>
      <c r="AC28" s="4"/>
      <c r="AD28" s="4"/>
      <c r="AE28" s="4"/>
      <c r="AF28" s="4"/>
      <c r="AG28" s="4"/>
      <c r="AH28" s="5"/>
      <c r="AI28" s="4"/>
      <c r="AJ28" s="3"/>
    </row>
    <row r="29" spans="2:36" x14ac:dyDescent="0.25">
      <c r="B29" s="22"/>
      <c r="D29" s="22"/>
      <c r="G29" s="4" t="s">
        <v>97</v>
      </c>
      <c r="H29" s="4">
        <v>2</v>
      </c>
      <c r="I29" s="4">
        <v>9</v>
      </c>
      <c r="J29" s="4" t="s">
        <v>26</v>
      </c>
      <c r="K29" s="16">
        <v>54</v>
      </c>
      <c r="L29" s="16">
        <v>2009</v>
      </c>
      <c r="M29" s="16" t="s">
        <v>44</v>
      </c>
      <c r="N29" s="5">
        <v>1.9</v>
      </c>
      <c r="O29" s="4">
        <v>3054</v>
      </c>
      <c r="P29" s="3">
        <v>1607</v>
      </c>
      <c r="AA29" s="4"/>
      <c r="AB29" s="4"/>
      <c r="AC29" s="4"/>
      <c r="AD29" s="4"/>
      <c r="AE29" s="16"/>
      <c r="AF29" s="16"/>
      <c r="AG29" s="16"/>
      <c r="AH29" s="5"/>
      <c r="AI29" s="4"/>
      <c r="AJ29" s="3"/>
    </row>
    <row r="30" spans="2:36" x14ac:dyDescent="0.25">
      <c r="B30" s="22"/>
      <c r="D30" s="22"/>
      <c r="G30" s="4" t="s">
        <v>97</v>
      </c>
      <c r="H30" s="4">
        <v>3</v>
      </c>
      <c r="I30" s="4">
        <v>1</v>
      </c>
      <c r="J30" s="4" t="s">
        <v>28</v>
      </c>
      <c r="K30" s="4">
        <v>49</v>
      </c>
      <c r="L30" s="4">
        <v>2006</v>
      </c>
      <c r="M30" s="4" t="s">
        <v>34</v>
      </c>
      <c r="N30" s="5">
        <v>0.68</v>
      </c>
      <c r="O30" s="4">
        <v>1132</v>
      </c>
      <c r="P30" s="3">
        <v>1664</v>
      </c>
      <c r="AA30" s="4"/>
      <c r="AB30" s="4"/>
      <c r="AC30" s="4"/>
      <c r="AD30" s="4"/>
      <c r="AE30" s="4"/>
      <c r="AF30" s="4"/>
      <c r="AG30" s="4"/>
      <c r="AH30" s="5"/>
      <c r="AI30" s="4"/>
      <c r="AJ30" s="3"/>
    </row>
    <row r="31" spans="2:36" x14ac:dyDescent="0.25">
      <c r="B31" s="22"/>
      <c r="D31" s="22"/>
      <c r="G31" s="4" t="s">
        <v>97</v>
      </c>
      <c r="H31" s="4">
        <v>3</v>
      </c>
      <c r="I31" s="4">
        <v>2</v>
      </c>
      <c r="J31" s="4" t="s">
        <v>28</v>
      </c>
      <c r="K31" s="4">
        <v>239</v>
      </c>
      <c r="L31" s="4">
        <v>1977</v>
      </c>
      <c r="M31" s="4" t="s">
        <v>66</v>
      </c>
      <c r="N31" s="5">
        <v>1.1299999999999999</v>
      </c>
      <c r="O31" s="4">
        <v>946</v>
      </c>
      <c r="P31" s="3">
        <v>837</v>
      </c>
      <c r="AA31" s="4"/>
      <c r="AB31" s="4"/>
      <c r="AC31" s="4"/>
      <c r="AD31" s="4"/>
      <c r="AE31" s="4"/>
      <c r="AF31" s="4"/>
      <c r="AG31" s="4"/>
      <c r="AH31" s="5"/>
      <c r="AI31" s="4"/>
      <c r="AJ31" s="3"/>
    </row>
    <row r="32" spans="2:36" x14ac:dyDescent="0.25">
      <c r="B32" s="22"/>
      <c r="D32" s="22"/>
      <c r="G32" s="4" t="s">
        <v>97</v>
      </c>
      <c r="H32" s="4">
        <v>3</v>
      </c>
      <c r="I32" s="4">
        <v>3</v>
      </c>
      <c r="J32" s="4" t="s">
        <v>16</v>
      </c>
      <c r="K32" s="4">
        <v>76</v>
      </c>
      <c r="L32" s="4">
        <v>2006</v>
      </c>
      <c r="M32" s="4" t="s">
        <v>34</v>
      </c>
      <c r="N32" s="5">
        <v>3.29</v>
      </c>
      <c r="O32" s="4">
        <v>1266</v>
      </c>
      <c r="P32" s="3">
        <v>1565</v>
      </c>
      <c r="AA32" s="4"/>
      <c r="AB32" s="4"/>
      <c r="AC32" s="4"/>
      <c r="AD32" s="4"/>
      <c r="AE32" s="4"/>
      <c r="AF32" s="4"/>
      <c r="AG32" s="4"/>
      <c r="AH32" s="5"/>
      <c r="AI32" s="4"/>
      <c r="AJ32" s="3"/>
    </row>
    <row r="33" spans="2:36" x14ac:dyDescent="0.25">
      <c r="B33" s="22"/>
      <c r="D33" s="22"/>
      <c r="G33" s="4" t="s">
        <v>97</v>
      </c>
      <c r="H33" s="4">
        <v>3</v>
      </c>
      <c r="I33" s="4">
        <v>4</v>
      </c>
      <c r="J33" s="4" t="s">
        <v>64</v>
      </c>
      <c r="K33" s="1"/>
      <c r="L33" s="4">
        <v>1977</v>
      </c>
      <c r="M33" s="4" t="s">
        <v>66</v>
      </c>
      <c r="N33" s="5">
        <v>1.1299999999999999</v>
      </c>
      <c r="O33" s="4">
        <v>745</v>
      </c>
      <c r="P33" s="3">
        <v>659</v>
      </c>
      <c r="AA33" s="4"/>
      <c r="AB33" s="4"/>
      <c r="AC33" s="4"/>
      <c r="AD33" s="4"/>
      <c r="AE33" s="1"/>
      <c r="AF33" s="4"/>
      <c r="AG33" s="4"/>
      <c r="AH33" s="5"/>
      <c r="AI33" s="4"/>
      <c r="AJ33" s="3"/>
    </row>
    <row r="34" spans="2:36" x14ac:dyDescent="0.25">
      <c r="B34" s="22"/>
      <c r="D34" s="22"/>
      <c r="G34" s="4" t="s">
        <v>97</v>
      </c>
      <c r="H34" s="4">
        <v>3</v>
      </c>
      <c r="I34" s="4">
        <v>5</v>
      </c>
      <c r="J34" s="4" t="s">
        <v>28</v>
      </c>
      <c r="K34" s="4">
        <v>239</v>
      </c>
      <c r="L34" s="4">
        <v>1977</v>
      </c>
      <c r="M34" s="4" t="s">
        <v>69</v>
      </c>
      <c r="N34" s="5">
        <v>1.1299999999999999</v>
      </c>
      <c r="O34" s="4">
        <v>837</v>
      </c>
      <c r="P34" s="3">
        <v>741</v>
      </c>
      <c r="AA34" s="4"/>
      <c r="AB34" s="4"/>
      <c r="AC34" s="4"/>
      <c r="AD34" s="4"/>
      <c r="AE34" s="4"/>
      <c r="AF34" s="4"/>
      <c r="AG34" s="4"/>
      <c r="AH34" s="5"/>
      <c r="AI34" s="4"/>
      <c r="AJ34" s="3"/>
    </row>
    <row r="35" spans="2:36" x14ac:dyDescent="0.25">
      <c r="B35" s="22"/>
      <c r="G35" s="4" t="s">
        <v>122</v>
      </c>
      <c r="H35" s="4">
        <v>1</v>
      </c>
      <c r="I35" s="4" t="s">
        <v>124</v>
      </c>
      <c r="J35" s="4" t="s">
        <v>28</v>
      </c>
      <c r="K35" s="4">
        <v>49</v>
      </c>
      <c r="L35" s="4">
        <v>2008</v>
      </c>
      <c r="M35" s="4" t="s">
        <v>76</v>
      </c>
      <c r="N35" s="5">
        <f>2.01+3.02+1.12</f>
        <v>6.1499999999999995</v>
      </c>
      <c r="O35" s="4">
        <f>2015+5195+3235</f>
        <v>10445</v>
      </c>
      <c r="P35" s="3">
        <f>(O35/N35)</f>
        <v>1698.3739837398375</v>
      </c>
      <c r="AA35" s="4"/>
      <c r="AB35" s="4"/>
      <c r="AC35" s="4"/>
      <c r="AD35" s="4"/>
      <c r="AE35" s="4"/>
      <c r="AF35" s="4"/>
      <c r="AG35" s="4"/>
      <c r="AH35" s="5"/>
      <c r="AI35" s="4"/>
      <c r="AJ35" s="3"/>
    </row>
    <row r="36" spans="2:36" x14ac:dyDescent="0.25">
      <c r="G36" s="4" t="s">
        <v>122</v>
      </c>
      <c r="H36" s="4">
        <v>1</v>
      </c>
      <c r="I36" s="4" t="s">
        <v>133</v>
      </c>
      <c r="J36" s="4" t="s">
        <v>78</v>
      </c>
      <c r="K36" s="4">
        <v>643</v>
      </c>
      <c r="L36" s="4">
        <v>2008</v>
      </c>
      <c r="M36" s="4" t="s">
        <v>76</v>
      </c>
      <c r="N36" s="5">
        <f>4.87+2.52</f>
        <v>7.3900000000000006</v>
      </c>
      <c r="O36" s="4">
        <f>8342+4208</f>
        <v>12550</v>
      </c>
      <c r="P36" s="3">
        <f>(O36/N36)</f>
        <v>1698.2408660351825</v>
      </c>
      <c r="AA36" s="4"/>
      <c r="AB36" s="4"/>
      <c r="AC36" s="4"/>
      <c r="AD36" s="4"/>
      <c r="AE36" s="4"/>
      <c r="AF36" s="4"/>
      <c r="AG36" s="4"/>
      <c r="AH36" s="5"/>
      <c r="AI36" s="4"/>
      <c r="AJ36" s="3"/>
    </row>
    <row r="37" spans="2:36" x14ac:dyDescent="0.25">
      <c r="G37" s="4" t="s">
        <v>128</v>
      </c>
      <c r="H37" s="4" t="s">
        <v>135</v>
      </c>
      <c r="I37" s="4"/>
      <c r="J37" s="4" t="s">
        <v>7</v>
      </c>
      <c r="K37" s="4"/>
      <c r="L37" s="4"/>
      <c r="M37" s="4"/>
      <c r="N37" s="5"/>
      <c r="O37" s="4"/>
      <c r="P37" s="3"/>
      <c r="AA37" s="4"/>
      <c r="AB37" s="4"/>
      <c r="AC37" s="4"/>
      <c r="AD37" s="4"/>
      <c r="AE37" s="4"/>
      <c r="AF37" s="4"/>
      <c r="AG37" s="4"/>
      <c r="AH37" s="5"/>
      <c r="AI37" s="4"/>
      <c r="AJ37" s="3"/>
    </row>
    <row r="38" spans="2:36" x14ac:dyDescent="0.25">
      <c r="G38" s="4" t="s">
        <v>115</v>
      </c>
      <c r="H38" s="4">
        <v>1</v>
      </c>
      <c r="I38" s="4">
        <v>1</v>
      </c>
      <c r="J38" s="4" t="s">
        <v>114</v>
      </c>
      <c r="K38" s="4" t="s">
        <v>36</v>
      </c>
      <c r="L38" s="4">
        <v>2006</v>
      </c>
      <c r="M38" s="4" t="s">
        <v>61</v>
      </c>
      <c r="N38" s="5">
        <v>0.2</v>
      </c>
      <c r="O38" s="3">
        <v>300</v>
      </c>
      <c r="P38" s="3">
        <v>1500</v>
      </c>
      <c r="AA38" s="4"/>
      <c r="AB38" s="4"/>
      <c r="AC38" s="4"/>
      <c r="AD38" s="4"/>
      <c r="AE38" s="4"/>
      <c r="AF38" s="4"/>
      <c r="AG38" s="4"/>
      <c r="AH38" s="5"/>
      <c r="AI38" s="3"/>
      <c r="AJ38" s="3"/>
    </row>
    <row r="39" spans="2:36" x14ac:dyDescent="0.25">
      <c r="G39" s="4" t="s">
        <v>115</v>
      </c>
      <c r="H39" s="4">
        <v>1</v>
      </c>
      <c r="I39" s="4">
        <v>2</v>
      </c>
      <c r="J39" s="4" t="s">
        <v>55</v>
      </c>
      <c r="K39" s="4">
        <v>174</v>
      </c>
      <c r="L39" s="4">
        <v>2006</v>
      </c>
      <c r="M39" s="4" t="s">
        <v>60</v>
      </c>
      <c r="N39" s="5">
        <v>1.6</v>
      </c>
      <c r="O39" s="3">
        <v>1748</v>
      </c>
      <c r="P39" s="3">
        <v>1093</v>
      </c>
      <c r="AA39" s="4"/>
      <c r="AB39" s="4"/>
      <c r="AC39" s="4"/>
      <c r="AD39" s="4"/>
      <c r="AE39" s="4"/>
      <c r="AF39" s="4"/>
      <c r="AG39" s="4"/>
      <c r="AH39" s="5"/>
      <c r="AI39" s="3"/>
      <c r="AJ39" s="3"/>
    </row>
    <row r="40" spans="2:36" x14ac:dyDescent="0.25">
      <c r="G40" s="4" t="s">
        <v>115</v>
      </c>
      <c r="H40" s="4">
        <v>1</v>
      </c>
      <c r="I40" s="4">
        <v>3</v>
      </c>
      <c r="J40" s="4" t="s">
        <v>20</v>
      </c>
      <c r="K40" s="4">
        <v>220</v>
      </c>
      <c r="L40" s="4">
        <v>2006</v>
      </c>
      <c r="M40" s="4" t="s">
        <v>149</v>
      </c>
      <c r="N40" s="5">
        <v>1.65</v>
      </c>
      <c r="O40" s="3">
        <v>4061</v>
      </c>
      <c r="P40" s="3">
        <v>1845</v>
      </c>
      <c r="AA40" s="4"/>
      <c r="AB40" s="4"/>
      <c r="AC40" s="4"/>
      <c r="AD40" s="4"/>
      <c r="AE40" s="4"/>
      <c r="AF40" s="4"/>
      <c r="AG40" s="4"/>
      <c r="AH40" s="5"/>
      <c r="AI40" s="3"/>
      <c r="AJ40" s="3"/>
    </row>
    <row r="41" spans="2:36" x14ac:dyDescent="0.25">
      <c r="G41" s="4" t="s">
        <v>115</v>
      </c>
      <c r="H41" s="4">
        <v>1</v>
      </c>
      <c r="I41" s="4">
        <v>4</v>
      </c>
      <c r="J41" s="4" t="s">
        <v>114</v>
      </c>
      <c r="K41" s="4" t="s">
        <v>36</v>
      </c>
      <c r="L41" s="4">
        <v>2006</v>
      </c>
      <c r="M41" s="4" t="s">
        <v>34</v>
      </c>
      <c r="N41" s="5">
        <v>2.95</v>
      </c>
      <c r="O41" s="3">
        <v>2926</v>
      </c>
      <c r="P41" s="3">
        <v>975</v>
      </c>
      <c r="AA41" s="4"/>
      <c r="AB41" s="4"/>
      <c r="AC41" s="4"/>
      <c r="AD41" s="4"/>
      <c r="AE41" s="4"/>
      <c r="AF41" s="4"/>
      <c r="AG41" s="4"/>
      <c r="AH41" s="5"/>
      <c r="AI41" s="3"/>
      <c r="AJ41" s="3"/>
    </row>
    <row r="42" spans="2:36" x14ac:dyDescent="0.25">
      <c r="G42" s="4" t="s">
        <v>115</v>
      </c>
      <c r="H42" s="4">
        <v>1</v>
      </c>
      <c r="I42" s="4">
        <v>5</v>
      </c>
      <c r="J42" s="4" t="s">
        <v>114</v>
      </c>
      <c r="K42" s="4" t="s">
        <v>36</v>
      </c>
      <c r="L42" s="4" t="s">
        <v>59</v>
      </c>
      <c r="M42" s="4" t="s">
        <v>58</v>
      </c>
      <c r="N42" s="5">
        <v>10</v>
      </c>
      <c r="O42" s="3">
        <v>4600</v>
      </c>
      <c r="P42" s="3">
        <f>SUM(O42/N42)</f>
        <v>460</v>
      </c>
      <c r="AA42" s="4"/>
      <c r="AB42" s="4"/>
      <c r="AC42" s="4"/>
      <c r="AD42" s="4"/>
      <c r="AE42" s="4"/>
      <c r="AF42" s="4"/>
      <c r="AG42" s="4"/>
      <c r="AH42" s="5"/>
      <c r="AI42" s="3"/>
      <c r="AJ42" s="3"/>
    </row>
    <row r="43" spans="2:36" x14ac:dyDescent="0.25">
      <c r="G43" s="4" t="s">
        <v>117</v>
      </c>
      <c r="H43" s="4">
        <v>1</v>
      </c>
      <c r="I43" s="10">
        <v>39539</v>
      </c>
      <c r="J43" s="4" t="s">
        <v>78</v>
      </c>
      <c r="K43" s="4" t="s">
        <v>63</v>
      </c>
      <c r="L43" s="4">
        <v>2006</v>
      </c>
      <c r="M43" s="4" t="s">
        <v>34</v>
      </c>
      <c r="N43" s="5">
        <v>9.11</v>
      </c>
      <c r="O43" s="4">
        <v>17000</v>
      </c>
      <c r="P43" s="3">
        <f>O43/N43</f>
        <v>1866.0812294182219</v>
      </c>
      <c r="AA43" s="4"/>
      <c r="AB43" s="4"/>
      <c r="AC43" s="10"/>
      <c r="AD43" s="4"/>
      <c r="AE43" s="4"/>
      <c r="AF43" s="4"/>
      <c r="AG43" s="4"/>
      <c r="AH43" s="5"/>
      <c r="AI43" s="4"/>
      <c r="AJ43" s="3"/>
    </row>
    <row r="44" spans="2:36" x14ac:dyDescent="0.25">
      <c r="G44" s="4" t="s">
        <v>91</v>
      </c>
      <c r="H44" s="4">
        <v>1</v>
      </c>
      <c r="I44" s="4">
        <v>1</v>
      </c>
      <c r="J44" s="4" t="s">
        <v>101</v>
      </c>
      <c r="K44" s="4">
        <v>339</v>
      </c>
      <c r="L44" s="4">
        <v>1997</v>
      </c>
      <c r="M44" s="4" t="s">
        <v>113</v>
      </c>
      <c r="N44" s="5">
        <v>7.0000000000000007E-2</v>
      </c>
      <c r="O44" s="3">
        <v>208</v>
      </c>
      <c r="P44" s="3">
        <f>SUM(O44/N44)</f>
        <v>2971.4285714285711</v>
      </c>
      <c r="AA44" s="4"/>
      <c r="AB44" s="4"/>
      <c r="AC44" s="4"/>
      <c r="AD44" s="4"/>
      <c r="AE44" s="4"/>
      <c r="AF44" s="4"/>
      <c r="AG44" s="4"/>
      <c r="AH44" s="5"/>
      <c r="AI44" s="3"/>
      <c r="AJ44" s="3"/>
    </row>
    <row r="45" spans="2:36" x14ac:dyDescent="0.25">
      <c r="G45" s="4" t="s">
        <v>91</v>
      </c>
      <c r="H45" s="4">
        <v>1</v>
      </c>
      <c r="I45" s="4">
        <v>1</v>
      </c>
      <c r="J45" s="4" t="s">
        <v>38</v>
      </c>
      <c r="K45" s="4" t="s">
        <v>39</v>
      </c>
      <c r="L45" s="4">
        <v>1997</v>
      </c>
      <c r="M45" s="4" t="s">
        <v>40</v>
      </c>
      <c r="N45" s="5">
        <v>0.66</v>
      </c>
      <c r="O45" s="3">
        <v>1515</v>
      </c>
      <c r="P45" s="3">
        <f>SUM(O45/N45)</f>
        <v>2295.4545454545455</v>
      </c>
      <c r="AA45" s="4"/>
      <c r="AB45" s="4"/>
      <c r="AC45" s="4"/>
      <c r="AD45" s="4"/>
      <c r="AE45" s="4"/>
      <c r="AF45" s="4"/>
      <c r="AG45" s="4"/>
      <c r="AH45" s="5"/>
      <c r="AI45" s="3"/>
      <c r="AJ45" s="3"/>
    </row>
    <row r="46" spans="2:36" x14ac:dyDescent="0.25">
      <c r="G46" s="4" t="s">
        <v>91</v>
      </c>
      <c r="H46" s="4">
        <v>1</v>
      </c>
      <c r="I46" s="4">
        <v>2</v>
      </c>
      <c r="J46" s="4" t="s">
        <v>7</v>
      </c>
      <c r="K46" s="4">
        <v>548</v>
      </c>
      <c r="L46" s="4">
        <v>1996</v>
      </c>
      <c r="M46" s="4" t="s">
        <v>8</v>
      </c>
      <c r="N46" s="5">
        <v>0.86</v>
      </c>
      <c r="O46" s="3">
        <v>751</v>
      </c>
      <c r="P46" s="3">
        <v>2020</v>
      </c>
      <c r="AA46" s="4"/>
      <c r="AB46" s="4"/>
      <c r="AC46" s="4"/>
      <c r="AD46" s="4"/>
      <c r="AE46" s="4"/>
      <c r="AF46" s="4"/>
      <c r="AG46" s="4"/>
      <c r="AH46" s="5"/>
      <c r="AI46" s="3"/>
      <c r="AJ46" s="3"/>
    </row>
    <row r="47" spans="2:36" x14ac:dyDescent="0.25">
      <c r="G47" s="4" t="s">
        <v>91</v>
      </c>
      <c r="H47" s="4">
        <v>1</v>
      </c>
      <c r="I47" s="4">
        <v>3</v>
      </c>
      <c r="J47" s="4" t="s">
        <v>23</v>
      </c>
      <c r="K47" s="4">
        <v>7114</v>
      </c>
      <c r="L47" s="4">
        <v>1982</v>
      </c>
      <c r="M47" s="4" t="s">
        <v>24</v>
      </c>
      <c r="N47" s="5">
        <v>4.4800000000000004</v>
      </c>
      <c r="O47" s="3">
        <v>4833</v>
      </c>
      <c r="P47" s="3">
        <f>SUM(O47/N47)</f>
        <v>1078.7946428571427</v>
      </c>
      <c r="AA47" s="4"/>
      <c r="AB47" s="4"/>
      <c r="AC47" s="4"/>
      <c r="AD47" s="4"/>
      <c r="AE47" s="4"/>
      <c r="AF47" s="4"/>
      <c r="AG47" s="4"/>
      <c r="AH47" s="5"/>
      <c r="AI47" s="3"/>
      <c r="AJ47" s="3"/>
    </row>
    <row r="48" spans="2:36" x14ac:dyDescent="0.25">
      <c r="G48" s="4" t="s">
        <v>91</v>
      </c>
      <c r="H48" s="4">
        <v>1</v>
      </c>
      <c r="I48" s="4">
        <v>3</v>
      </c>
      <c r="J48" s="4" t="s">
        <v>25</v>
      </c>
      <c r="K48" s="4">
        <v>7114</v>
      </c>
      <c r="L48" s="4">
        <v>1983</v>
      </c>
      <c r="M48" s="4" t="s">
        <v>98</v>
      </c>
      <c r="N48" s="5">
        <v>4.4800000000000004</v>
      </c>
      <c r="O48" s="3">
        <v>4833</v>
      </c>
      <c r="P48" s="3">
        <f>SUM(O48/N48)</f>
        <v>1078.7946428571427</v>
      </c>
      <c r="AA48" s="4"/>
      <c r="AB48" s="4"/>
      <c r="AC48" s="4"/>
      <c r="AD48" s="4"/>
      <c r="AE48" s="4"/>
      <c r="AF48" s="4"/>
      <c r="AG48" s="4"/>
      <c r="AH48" s="5"/>
      <c r="AI48" s="3"/>
      <c r="AJ48" s="3"/>
    </row>
    <row r="49" spans="7:36" x14ac:dyDescent="0.25">
      <c r="G49" s="4" t="s">
        <v>91</v>
      </c>
      <c r="H49" s="4">
        <v>1</v>
      </c>
      <c r="I49" s="4">
        <v>4</v>
      </c>
      <c r="J49" s="4" t="s">
        <v>28</v>
      </c>
      <c r="K49" s="4" t="s">
        <v>29</v>
      </c>
      <c r="L49" s="4">
        <v>1982</v>
      </c>
      <c r="M49" s="4" t="s">
        <v>24</v>
      </c>
      <c r="N49" s="5">
        <v>5.13</v>
      </c>
      <c r="O49" s="3">
        <v>5536</v>
      </c>
      <c r="P49" s="3">
        <v>1079</v>
      </c>
      <c r="AA49" s="4"/>
      <c r="AB49" s="4"/>
      <c r="AC49" s="4"/>
      <c r="AD49" s="4"/>
      <c r="AE49" s="4"/>
      <c r="AF49" s="4"/>
      <c r="AG49" s="4"/>
      <c r="AH49" s="5"/>
      <c r="AI49" s="3"/>
      <c r="AJ49" s="3"/>
    </row>
    <row r="50" spans="7:36" x14ac:dyDescent="0.25">
      <c r="G50" s="4" t="s">
        <v>91</v>
      </c>
      <c r="H50" s="4">
        <v>1</v>
      </c>
      <c r="I50" s="4">
        <v>4</v>
      </c>
      <c r="J50" s="4" t="s">
        <v>146</v>
      </c>
      <c r="K50" s="27" t="s">
        <v>29</v>
      </c>
      <c r="L50" s="4">
        <v>1982</v>
      </c>
      <c r="M50" s="4" t="s">
        <v>24</v>
      </c>
      <c r="N50" s="5">
        <v>5.13</v>
      </c>
      <c r="O50" s="3">
        <v>5536</v>
      </c>
      <c r="P50" s="27">
        <v>1079</v>
      </c>
      <c r="AA50" s="4"/>
      <c r="AB50" s="4"/>
      <c r="AC50" s="4"/>
      <c r="AD50" s="4"/>
      <c r="AE50" s="27"/>
      <c r="AF50" s="4"/>
      <c r="AG50" s="4"/>
      <c r="AH50" s="5"/>
      <c r="AI50" s="3"/>
      <c r="AJ50" s="27"/>
    </row>
    <row r="51" spans="7:36" x14ac:dyDescent="0.25">
      <c r="G51" s="4" t="s">
        <v>91</v>
      </c>
      <c r="H51" s="4">
        <v>1</v>
      </c>
      <c r="I51" s="4">
        <v>5</v>
      </c>
      <c r="J51" s="4" t="s">
        <v>26</v>
      </c>
      <c r="K51" s="4">
        <v>55</v>
      </c>
      <c r="L51" s="4">
        <v>1997</v>
      </c>
      <c r="M51" s="4" t="s">
        <v>27</v>
      </c>
      <c r="N51" s="5">
        <v>3.63</v>
      </c>
      <c r="O51" s="3">
        <v>4059</v>
      </c>
      <c r="P51" s="3">
        <v>1376</v>
      </c>
      <c r="AA51" s="4"/>
      <c r="AB51" s="4"/>
      <c r="AC51" s="4"/>
      <c r="AD51" s="4"/>
      <c r="AE51" s="4"/>
      <c r="AF51" s="4"/>
      <c r="AG51" s="4"/>
      <c r="AH51" s="5"/>
      <c r="AI51" s="3"/>
      <c r="AJ51" s="3"/>
    </row>
    <row r="52" spans="7:36" x14ac:dyDescent="0.25">
      <c r="G52" s="4" t="s">
        <v>91</v>
      </c>
      <c r="H52" s="4">
        <v>1</v>
      </c>
      <c r="I52" s="4">
        <v>6</v>
      </c>
      <c r="J52" s="4" t="s">
        <v>99</v>
      </c>
      <c r="K52" s="4">
        <v>530</v>
      </c>
      <c r="L52" s="4">
        <v>1997</v>
      </c>
      <c r="M52" s="4" t="s">
        <v>27</v>
      </c>
      <c r="N52" s="5">
        <v>1.82</v>
      </c>
      <c r="O52" s="3">
        <v>2033</v>
      </c>
      <c r="P52" s="3">
        <v>1374</v>
      </c>
      <c r="AA52" s="4"/>
      <c r="AB52" s="4"/>
      <c r="AC52" s="4"/>
      <c r="AD52" s="4"/>
      <c r="AE52" s="4"/>
      <c r="AF52" s="4"/>
      <c r="AG52" s="4"/>
      <c r="AH52" s="5"/>
      <c r="AI52" s="3"/>
      <c r="AJ52" s="3"/>
    </row>
    <row r="53" spans="7:36" x14ac:dyDescent="0.25">
      <c r="G53" s="4" t="s">
        <v>91</v>
      </c>
      <c r="H53" s="4">
        <v>1</v>
      </c>
      <c r="I53" s="4">
        <v>7</v>
      </c>
      <c r="J53" s="4" t="s">
        <v>16</v>
      </c>
      <c r="K53" s="4" t="s">
        <v>9</v>
      </c>
      <c r="L53" s="4" t="s">
        <v>17</v>
      </c>
      <c r="M53" s="4" t="s">
        <v>18</v>
      </c>
      <c r="N53" s="5">
        <v>2.86</v>
      </c>
      <c r="O53" s="3">
        <v>2114</v>
      </c>
      <c r="P53" s="3">
        <v>698</v>
      </c>
      <c r="AA53" s="4"/>
      <c r="AB53" s="4"/>
      <c r="AC53" s="4"/>
      <c r="AD53" s="4"/>
      <c r="AE53" s="4"/>
      <c r="AF53" s="4"/>
      <c r="AG53" s="4"/>
      <c r="AH53" s="5"/>
      <c r="AI53" s="3"/>
      <c r="AJ53" s="3"/>
    </row>
    <row r="54" spans="7:36" x14ac:dyDescent="0.25">
      <c r="G54" s="4" t="s">
        <v>91</v>
      </c>
      <c r="H54" s="4">
        <v>2</v>
      </c>
      <c r="I54" s="4">
        <v>1</v>
      </c>
      <c r="J54" s="4" t="s">
        <v>55</v>
      </c>
      <c r="K54" s="4" t="s">
        <v>147</v>
      </c>
      <c r="L54" s="4">
        <v>2010</v>
      </c>
      <c r="M54" s="4" t="s">
        <v>148</v>
      </c>
      <c r="N54" s="5">
        <v>2.69</v>
      </c>
      <c r="O54" s="3">
        <v>3911</v>
      </c>
      <c r="P54" s="3">
        <v>1078</v>
      </c>
      <c r="AA54" s="4"/>
      <c r="AB54" s="4"/>
      <c r="AC54" s="4"/>
      <c r="AD54" s="4"/>
      <c r="AE54" s="4"/>
      <c r="AF54" s="4"/>
      <c r="AG54" s="4"/>
      <c r="AH54" s="5"/>
      <c r="AI54" s="3"/>
      <c r="AJ54" s="3"/>
    </row>
    <row r="55" spans="7:36" x14ac:dyDescent="0.25">
      <c r="G55" s="4" t="s">
        <v>91</v>
      </c>
      <c r="H55" s="4">
        <v>2</v>
      </c>
      <c r="I55" s="4">
        <v>2</v>
      </c>
      <c r="J55" s="4" t="s">
        <v>38</v>
      </c>
      <c r="K55" s="4">
        <v>181</v>
      </c>
      <c r="L55" s="4">
        <v>1998</v>
      </c>
      <c r="M55" s="4" t="s">
        <v>41</v>
      </c>
      <c r="N55" s="5">
        <v>3.27</v>
      </c>
      <c r="O55" s="3">
        <v>4500</v>
      </c>
      <c r="P55" s="3">
        <f>SUM(O55/N55)</f>
        <v>1376.1467889908256</v>
      </c>
      <c r="AA55" s="4"/>
      <c r="AB55" s="4"/>
      <c r="AC55" s="4"/>
      <c r="AD55" s="4"/>
      <c r="AE55" s="4"/>
      <c r="AF55" s="4"/>
      <c r="AG55" s="4"/>
      <c r="AH55" s="5"/>
      <c r="AI55" s="3"/>
      <c r="AJ55" s="3"/>
    </row>
    <row r="56" spans="7:36" x14ac:dyDescent="0.25">
      <c r="G56" s="4" t="s">
        <v>91</v>
      </c>
      <c r="H56" s="4">
        <v>2</v>
      </c>
      <c r="I56" s="4">
        <v>3</v>
      </c>
      <c r="J56" s="4" t="s">
        <v>16</v>
      </c>
      <c r="K56" s="4" t="s">
        <v>9</v>
      </c>
      <c r="L56" s="4" t="s">
        <v>17</v>
      </c>
      <c r="M56" s="4" t="s">
        <v>18</v>
      </c>
      <c r="N56" s="5">
        <v>2.4500000000000002</v>
      </c>
      <c r="O56" s="3">
        <v>1590</v>
      </c>
      <c r="P56" s="3">
        <v>698</v>
      </c>
      <c r="AA56" s="4"/>
      <c r="AB56" s="4"/>
      <c r="AC56" s="4"/>
      <c r="AD56" s="4"/>
      <c r="AE56" s="4"/>
      <c r="AF56" s="4"/>
      <c r="AG56" s="4"/>
      <c r="AH56" s="5"/>
      <c r="AI56" s="3"/>
      <c r="AJ56" s="3"/>
    </row>
    <row r="57" spans="7:36" x14ac:dyDescent="0.25">
      <c r="G57" s="4" t="s">
        <v>91</v>
      </c>
      <c r="H57" s="4">
        <v>2</v>
      </c>
      <c r="I57" s="4">
        <v>4</v>
      </c>
      <c r="J57" s="4" t="s">
        <v>7</v>
      </c>
      <c r="K57" s="4" t="s">
        <v>9</v>
      </c>
      <c r="L57" s="4">
        <v>1987</v>
      </c>
      <c r="M57" s="4" t="s">
        <v>10</v>
      </c>
      <c r="N57" s="5">
        <v>1.42</v>
      </c>
      <c r="O57" s="3">
        <v>1470</v>
      </c>
      <c r="P57" s="3">
        <v>1079</v>
      </c>
      <c r="AA57" s="4"/>
      <c r="AB57" s="4"/>
      <c r="AC57" s="4"/>
      <c r="AD57" s="4"/>
      <c r="AE57" s="4"/>
      <c r="AF57" s="4"/>
      <c r="AG57" s="4"/>
      <c r="AH57" s="5"/>
      <c r="AI57" s="3"/>
      <c r="AJ57" s="3"/>
    </row>
    <row r="58" spans="7:36" x14ac:dyDescent="0.25">
      <c r="G58" s="4" t="s">
        <v>91</v>
      </c>
      <c r="H58" s="4">
        <v>2</v>
      </c>
      <c r="I58" s="4">
        <v>5</v>
      </c>
      <c r="J58" s="4" t="s">
        <v>7</v>
      </c>
      <c r="K58" s="4" t="s">
        <v>11</v>
      </c>
      <c r="L58" s="4">
        <v>1993</v>
      </c>
      <c r="M58" s="4" t="s">
        <v>12</v>
      </c>
      <c r="N58" s="5">
        <v>0.48</v>
      </c>
      <c r="O58" s="3">
        <v>965</v>
      </c>
      <c r="P58" s="3">
        <v>1667</v>
      </c>
      <c r="AA58" s="4"/>
      <c r="AB58" s="4"/>
      <c r="AC58" s="4"/>
      <c r="AD58" s="4"/>
      <c r="AE58" s="4"/>
      <c r="AF58" s="4"/>
      <c r="AG58" s="4"/>
      <c r="AH58" s="5"/>
      <c r="AI58" s="3"/>
      <c r="AJ58" s="3"/>
    </row>
    <row r="59" spans="7:36" x14ac:dyDescent="0.25">
      <c r="G59" s="4" t="s">
        <v>91</v>
      </c>
      <c r="H59" s="4">
        <v>2</v>
      </c>
      <c r="I59" s="4">
        <v>6</v>
      </c>
      <c r="J59" s="4" t="s">
        <v>20</v>
      </c>
      <c r="K59" s="4">
        <v>220</v>
      </c>
      <c r="L59" s="4">
        <v>1997</v>
      </c>
      <c r="M59" s="4" t="s">
        <v>14</v>
      </c>
      <c r="N59" s="5">
        <v>4.72</v>
      </c>
      <c r="O59" s="3">
        <v>6500</v>
      </c>
      <c r="P59" s="3">
        <v>1377</v>
      </c>
      <c r="AA59" s="4"/>
      <c r="AB59" s="4"/>
      <c r="AC59" s="4"/>
      <c r="AD59" s="4"/>
      <c r="AE59" s="4"/>
      <c r="AF59" s="4"/>
      <c r="AG59" s="4"/>
      <c r="AH59" s="5"/>
      <c r="AI59" s="3"/>
      <c r="AJ59" s="3"/>
    </row>
    <row r="60" spans="7:36" x14ac:dyDescent="0.25">
      <c r="G60" s="4" t="s">
        <v>91</v>
      </c>
      <c r="H60" s="4">
        <v>2</v>
      </c>
      <c r="I60" s="4">
        <v>7</v>
      </c>
      <c r="J60" s="4" t="s">
        <v>38</v>
      </c>
      <c r="K60" s="4">
        <v>347</v>
      </c>
      <c r="L60" s="4">
        <v>1998</v>
      </c>
      <c r="M60" s="4" t="s">
        <v>14</v>
      </c>
      <c r="N60" s="5">
        <v>3.27</v>
      </c>
      <c r="O60" s="3">
        <v>4500</v>
      </c>
      <c r="P60" s="3">
        <f>SUM(O60/N60)</f>
        <v>1376.1467889908256</v>
      </c>
      <c r="AA60" s="4"/>
      <c r="AB60" s="4"/>
      <c r="AC60" s="4"/>
      <c r="AD60" s="4"/>
      <c r="AE60" s="4"/>
      <c r="AF60" s="4"/>
      <c r="AG60" s="4"/>
      <c r="AH60" s="5"/>
      <c r="AI60" s="3"/>
      <c r="AJ60" s="3"/>
    </row>
    <row r="61" spans="7:36" x14ac:dyDescent="0.25">
      <c r="G61" s="4" t="s">
        <v>91</v>
      </c>
      <c r="H61" s="4">
        <v>2</v>
      </c>
      <c r="I61" s="4">
        <v>8</v>
      </c>
      <c r="J61" s="4" t="s">
        <v>38</v>
      </c>
      <c r="K61" s="4">
        <v>346</v>
      </c>
      <c r="L61" s="4">
        <v>1998</v>
      </c>
      <c r="M61" s="4" t="s">
        <v>14</v>
      </c>
      <c r="N61" s="5">
        <v>1.1599999999999999</v>
      </c>
      <c r="O61" s="3">
        <v>1600</v>
      </c>
      <c r="P61" s="3">
        <f>SUM(O61/N61)</f>
        <v>1379.3103448275863</v>
      </c>
      <c r="AA61" s="4"/>
      <c r="AB61" s="4"/>
      <c r="AC61" s="4"/>
      <c r="AD61" s="4"/>
      <c r="AE61" s="4"/>
      <c r="AF61" s="4"/>
      <c r="AG61" s="4"/>
      <c r="AH61" s="5"/>
      <c r="AI61" s="3"/>
      <c r="AJ61" s="3"/>
    </row>
    <row r="62" spans="7:36" x14ac:dyDescent="0.25">
      <c r="G62" s="4" t="s">
        <v>91</v>
      </c>
      <c r="H62" s="4">
        <v>2</v>
      </c>
      <c r="I62" s="4">
        <v>9</v>
      </c>
      <c r="J62" s="4" t="s">
        <v>38</v>
      </c>
      <c r="K62" s="4">
        <v>509</v>
      </c>
      <c r="L62" s="4">
        <v>1998</v>
      </c>
      <c r="M62" s="4" t="s">
        <v>14</v>
      </c>
      <c r="N62" s="5">
        <v>0.91</v>
      </c>
      <c r="O62" s="3">
        <v>1257</v>
      </c>
      <c r="P62" s="3">
        <f>SUM(O62/N62)</f>
        <v>1381.3186813186812</v>
      </c>
      <c r="AA62" s="4"/>
      <c r="AB62" s="4"/>
      <c r="AC62" s="4"/>
      <c r="AD62" s="4"/>
      <c r="AE62" s="4"/>
      <c r="AF62" s="4"/>
      <c r="AG62" s="4"/>
      <c r="AH62" s="5"/>
      <c r="AI62" s="3"/>
      <c r="AJ62" s="3"/>
    </row>
    <row r="63" spans="7:36" x14ac:dyDescent="0.25">
      <c r="G63" s="4" t="s">
        <v>91</v>
      </c>
      <c r="H63" s="4">
        <v>3</v>
      </c>
      <c r="I63" s="4">
        <v>1</v>
      </c>
      <c r="J63" s="4" t="s">
        <v>43</v>
      </c>
      <c r="K63" s="4">
        <v>777</v>
      </c>
      <c r="L63" s="4">
        <v>2005</v>
      </c>
      <c r="M63" s="4" t="s">
        <v>44</v>
      </c>
      <c r="N63" s="5">
        <v>1.79</v>
      </c>
      <c r="O63" s="3">
        <v>2895</v>
      </c>
      <c r="P63" s="3">
        <v>1617</v>
      </c>
      <c r="AA63" s="4"/>
      <c r="AB63" s="4"/>
      <c r="AC63" s="4"/>
      <c r="AD63" s="4"/>
      <c r="AE63" s="4"/>
      <c r="AF63" s="4"/>
      <c r="AG63" s="4"/>
      <c r="AH63" s="5"/>
      <c r="AI63" s="3"/>
      <c r="AJ63" s="3"/>
    </row>
    <row r="64" spans="7:36" x14ac:dyDescent="0.25">
      <c r="G64" s="4" t="s">
        <v>91</v>
      </c>
      <c r="H64" s="4">
        <v>3</v>
      </c>
      <c r="I64" s="4">
        <v>2</v>
      </c>
      <c r="J64" s="4" t="s">
        <v>114</v>
      </c>
      <c r="K64" s="4" t="s">
        <v>36</v>
      </c>
      <c r="L64" s="4">
        <v>1965</v>
      </c>
      <c r="M64" s="4" t="s">
        <v>37</v>
      </c>
      <c r="N64" s="5">
        <v>1.25</v>
      </c>
      <c r="O64" s="3">
        <v>597</v>
      </c>
      <c r="P64" s="3">
        <f t="shared" ref="P64:P72" si="0">SUM(O64/N64)</f>
        <v>477.6</v>
      </c>
      <c r="AA64" s="4"/>
      <c r="AB64" s="4"/>
      <c r="AC64" s="4"/>
      <c r="AD64" s="4"/>
      <c r="AE64" s="4"/>
      <c r="AF64" s="4"/>
      <c r="AG64" s="4"/>
      <c r="AH64" s="5"/>
      <c r="AI64" s="3"/>
      <c r="AJ64" s="3"/>
    </row>
    <row r="65" spans="7:36" x14ac:dyDescent="0.25">
      <c r="G65" s="4" t="s">
        <v>91</v>
      </c>
      <c r="H65" s="4">
        <v>3</v>
      </c>
      <c r="I65" s="4">
        <v>3</v>
      </c>
      <c r="J65" s="4" t="s">
        <v>43</v>
      </c>
      <c r="K65" s="4">
        <v>667</v>
      </c>
      <c r="L65" s="4">
        <v>1996</v>
      </c>
      <c r="M65" s="4" t="s">
        <v>45</v>
      </c>
      <c r="N65" s="5">
        <v>2.4700000000000002</v>
      </c>
      <c r="O65" s="3">
        <v>5000</v>
      </c>
      <c r="P65" s="3">
        <f t="shared" si="0"/>
        <v>2024.2914979757084</v>
      </c>
      <c r="AA65" s="4"/>
      <c r="AB65" s="4"/>
      <c r="AC65" s="4"/>
      <c r="AD65" s="4"/>
      <c r="AE65" s="4"/>
      <c r="AF65" s="4"/>
      <c r="AG65" s="4"/>
      <c r="AH65" s="5"/>
      <c r="AI65" s="3"/>
      <c r="AJ65" s="3"/>
    </row>
    <row r="66" spans="7:36" x14ac:dyDescent="0.25">
      <c r="G66" s="4" t="s">
        <v>91</v>
      </c>
      <c r="H66" s="4">
        <v>3</v>
      </c>
      <c r="I66" s="4">
        <v>4</v>
      </c>
      <c r="J66" s="4" t="s">
        <v>7</v>
      </c>
      <c r="K66" s="4">
        <v>95</v>
      </c>
      <c r="L66" s="4">
        <v>1996</v>
      </c>
      <c r="M66" s="4" t="s">
        <v>13</v>
      </c>
      <c r="N66" s="5">
        <v>2.4700000000000002</v>
      </c>
      <c r="O66" s="3">
        <v>4662</v>
      </c>
      <c r="P66" s="3">
        <f t="shared" si="0"/>
        <v>1887.4493927125504</v>
      </c>
      <c r="AA66" s="4"/>
      <c r="AB66" s="4"/>
      <c r="AC66" s="4"/>
      <c r="AD66" s="4"/>
      <c r="AE66" s="4"/>
      <c r="AF66" s="4"/>
      <c r="AG66" s="4"/>
      <c r="AH66" s="5"/>
      <c r="AI66" s="3"/>
      <c r="AJ66" s="3"/>
    </row>
    <row r="67" spans="7:36" x14ac:dyDescent="0.25">
      <c r="G67" s="4" t="s">
        <v>91</v>
      </c>
      <c r="H67" s="4">
        <v>3</v>
      </c>
      <c r="I67" s="4">
        <v>5</v>
      </c>
      <c r="J67" s="4" t="s">
        <v>43</v>
      </c>
      <c r="K67" s="4" t="s">
        <v>46</v>
      </c>
      <c r="L67" s="4">
        <v>1990</v>
      </c>
      <c r="M67" s="4" t="s">
        <v>22</v>
      </c>
      <c r="N67" s="5">
        <v>0.91</v>
      </c>
      <c r="O67" s="3">
        <v>1013</v>
      </c>
      <c r="P67" s="3">
        <f t="shared" si="0"/>
        <v>1113.1868131868132</v>
      </c>
      <c r="AA67" s="4"/>
      <c r="AB67" s="4"/>
      <c r="AC67" s="4"/>
      <c r="AD67" s="4"/>
      <c r="AE67" s="4"/>
      <c r="AF67" s="4"/>
      <c r="AG67" s="4"/>
      <c r="AH67" s="5"/>
      <c r="AI67" s="3"/>
      <c r="AJ67" s="3"/>
    </row>
    <row r="68" spans="7:36" x14ac:dyDescent="0.25">
      <c r="G68" s="4" t="s">
        <v>91</v>
      </c>
      <c r="H68" s="4">
        <v>3</v>
      </c>
      <c r="I68" s="4">
        <v>6</v>
      </c>
      <c r="J68" s="4" t="s">
        <v>43</v>
      </c>
      <c r="K68" s="4" t="s">
        <v>47</v>
      </c>
      <c r="L68" s="4">
        <v>1987</v>
      </c>
      <c r="M68" s="4" t="s">
        <v>22</v>
      </c>
      <c r="N68" s="5">
        <v>0.5</v>
      </c>
      <c r="O68" s="3">
        <v>600</v>
      </c>
      <c r="P68" s="3">
        <f t="shared" si="0"/>
        <v>1200</v>
      </c>
      <c r="AA68" s="4"/>
      <c r="AB68" s="4"/>
      <c r="AC68" s="4"/>
      <c r="AD68" s="4"/>
      <c r="AE68" s="4"/>
      <c r="AF68" s="4"/>
      <c r="AG68" s="4"/>
      <c r="AH68" s="5"/>
      <c r="AI68" s="3"/>
      <c r="AJ68" s="3"/>
    </row>
    <row r="69" spans="7:36" x14ac:dyDescent="0.25">
      <c r="G69" s="4" t="s">
        <v>91</v>
      </c>
      <c r="H69" s="4">
        <v>3</v>
      </c>
      <c r="I69" s="4">
        <v>7</v>
      </c>
      <c r="J69" s="4" t="s">
        <v>43</v>
      </c>
      <c r="K69" s="4" t="s">
        <v>48</v>
      </c>
      <c r="L69" s="4">
        <v>1987</v>
      </c>
      <c r="M69" s="4" t="s">
        <v>22</v>
      </c>
      <c r="N69" s="5">
        <v>0.96</v>
      </c>
      <c r="O69" s="3">
        <v>1160</v>
      </c>
      <c r="P69" s="3">
        <f t="shared" si="0"/>
        <v>1208.3333333333335</v>
      </c>
      <c r="AA69" s="4"/>
      <c r="AB69" s="4"/>
      <c r="AC69" s="4"/>
      <c r="AD69" s="4"/>
      <c r="AE69" s="4"/>
      <c r="AF69" s="4"/>
      <c r="AG69" s="4"/>
      <c r="AH69" s="5"/>
      <c r="AI69" s="3"/>
      <c r="AJ69" s="3"/>
    </row>
    <row r="70" spans="7:36" x14ac:dyDescent="0.25">
      <c r="G70" s="4" t="s">
        <v>91</v>
      </c>
      <c r="H70" s="4">
        <v>3</v>
      </c>
      <c r="I70" s="4">
        <v>8</v>
      </c>
      <c r="J70" s="4" t="s">
        <v>43</v>
      </c>
      <c r="K70" s="4" t="s">
        <v>49</v>
      </c>
      <c r="L70" s="4">
        <v>1975</v>
      </c>
      <c r="M70" s="4" t="s">
        <v>22</v>
      </c>
      <c r="N70" s="5">
        <v>0.54</v>
      </c>
      <c r="O70" s="3">
        <v>219</v>
      </c>
      <c r="P70" s="3">
        <f t="shared" si="0"/>
        <v>405.55555555555554</v>
      </c>
      <c r="AA70" s="4"/>
      <c r="AB70" s="4"/>
      <c r="AC70" s="4"/>
      <c r="AD70" s="4"/>
      <c r="AE70" s="4"/>
      <c r="AF70" s="4"/>
      <c r="AG70" s="4"/>
      <c r="AH70" s="5"/>
      <c r="AI70" s="3"/>
      <c r="AJ70" s="3"/>
    </row>
    <row r="71" spans="7:36" x14ac:dyDescent="0.25">
      <c r="G71" s="4" t="s">
        <v>91</v>
      </c>
      <c r="H71" s="4">
        <v>3</v>
      </c>
      <c r="I71" s="4">
        <v>9</v>
      </c>
      <c r="J71" s="4" t="s">
        <v>43</v>
      </c>
      <c r="K71" s="4" t="s">
        <v>46</v>
      </c>
      <c r="L71" s="4">
        <v>1990</v>
      </c>
      <c r="M71" s="4" t="s">
        <v>52</v>
      </c>
      <c r="N71" s="5">
        <v>0.1</v>
      </c>
      <c r="O71" s="3">
        <v>219</v>
      </c>
      <c r="P71" s="3">
        <f t="shared" si="0"/>
        <v>2190</v>
      </c>
      <c r="AA71" s="4"/>
      <c r="AB71" s="4"/>
      <c r="AC71" s="4"/>
      <c r="AD71" s="4"/>
      <c r="AE71" s="4"/>
      <c r="AF71" s="4"/>
      <c r="AG71" s="4"/>
      <c r="AH71" s="5"/>
      <c r="AI71" s="3"/>
      <c r="AJ71" s="3"/>
    </row>
    <row r="72" spans="7:36" x14ac:dyDescent="0.25">
      <c r="G72" s="4" t="s">
        <v>91</v>
      </c>
      <c r="H72" s="4">
        <v>4</v>
      </c>
      <c r="I72" s="4">
        <v>1</v>
      </c>
      <c r="J72" s="4" t="s">
        <v>7</v>
      </c>
      <c r="K72" s="4">
        <v>95</v>
      </c>
      <c r="L72" s="4">
        <v>2011</v>
      </c>
      <c r="M72" s="4" t="s">
        <v>96</v>
      </c>
      <c r="N72" s="5">
        <v>2.35</v>
      </c>
      <c r="O72" s="3">
        <v>2383</v>
      </c>
      <c r="P72" s="3">
        <f t="shared" si="0"/>
        <v>1014.0425531914893</v>
      </c>
      <c r="AA72" s="4"/>
      <c r="AB72" s="4"/>
      <c r="AC72" s="4"/>
      <c r="AD72" s="4"/>
      <c r="AE72" s="4"/>
      <c r="AF72" s="4"/>
      <c r="AG72" s="4"/>
      <c r="AH72" s="5"/>
      <c r="AI72" s="3"/>
      <c r="AJ72" s="3"/>
    </row>
    <row r="73" spans="7:36" x14ac:dyDescent="0.25">
      <c r="G73" s="4" t="s">
        <v>91</v>
      </c>
      <c r="H73" s="4">
        <v>4</v>
      </c>
      <c r="I73" s="4">
        <v>2</v>
      </c>
      <c r="J73" s="4" t="s">
        <v>43</v>
      </c>
      <c r="K73" s="4">
        <v>667</v>
      </c>
      <c r="L73" s="4">
        <v>2005</v>
      </c>
      <c r="M73" s="4" t="s">
        <v>34</v>
      </c>
      <c r="N73" s="5">
        <v>0.9</v>
      </c>
      <c r="O73" s="3">
        <v>1240</v>
      </c>
      <c r="P73" s="3">
        <v>1240</v>
      </c>
      <c r="AA73" s="4"/>
      <c r="AB73" s="4"/>
      <c r="AC73" s="4"/>
      <c r="AD73" s="4"/>
      <c r="AE73" s="4"/>
      <c r="AF73" s="4"/>
      <c r="AG73" s="4"/>
      <c r="AH73" s="5"/>
      <c r="AI73" s="3"/>
      <c r="AJ73" s="3"/>
    </row>
    <row r="74" spans="7:36" x14ac:dyDescent="0.25">
      <c r="G74" s="4" t="s">
        <v>91</v>
      </c>
      <c r="H74" s="4">
        <v>4</v>
      </c>
      <c r="I74" s="4">
        <v>3</v>
      </c>
      <c r="J74" s="4" t="s">
        <v>43</v>
      </c>
      <c r="K74" s="4" t="s">
        <v>46</v>
      </c>
      <c r="L74" s="4">
        <v>1990</v>
      </c>
      <c r="M74" s="4" t="s">
        <v>22</v>
      </c>
      <c r="N74" s="5">
        <v>2.71</v>
      </c>
      <c r="O74" s="3">
        <v>3279</v>
      </c>
      <c r="P74" s="3">
        <f>SUM(O74/N74)</f>
        <v>1209.9630996309963</v>
      </c>
      <c r="AA74" s="4"/>
      <c r="AB74" s="4"/>
      <c r="AC74" s="4"/>
      <c r="AD74" s="4"/>
      <c r="AE74" s="4"/>
      <c r="AF74" s="4"/>
      <c r="AG74" s="4"/>
      <c r="AH74" s="5"/>
      <c r="AI74" s="3"/>
      <c r="AJ74" s="3"/>
    </row>
    <row r="75" spans="7:36" x14ac:dyDescent="0.25">
      <c r="G75" s="4" t="s">
        <v>91</v>
      </c>
      <c r="H75" s="4">
        <v>4</v>
      </c>
      <c r="I75" s="4">
        <v>4</v>
      </c>
      <c r="J75" s="4" t="s">
        <v>114</v>
      </c>
      <c r="K75" s="4" t="s">
        <v>36</v>
      </c>
      <c r="L75" s="4">
        <v>1965</v>
      </c>
      <c r="M75" s="4" t="s">
        <v>37</v>
      </c>
      <c r="N75" s="5">
        <v>1.6</v>
      </c>
      <c r="O75" s="3">
        <v>581</v>
      </c>
      <c r="P75" s="3">
        <f>SUM(O75/N75)</f>
        <v>363.125</v>
      </c>
      <c r="AA75" s="4"/>
      <c r="AB75" s="4"/>
      <c r="AC75" s="4"/>
      <c r="AD75" s="4"/>
      <c r="AE75" s="4"/>
      <c r="AF75" s="4"/>
      <c r="AG75" s="4"/>
      <c r="AH75" s="5"/>
      <c r="AI75" s="3"/>
      <c r="AJ75" s="3"/>
    </row>
    <row r="76" spans="7:36" x14ac:dyDescent="0.25">
      <c r="G76" s="4" t="s">
        <v>91</v>
      </c>
      <c r="H76" s="4">
        <v>4</v>
      </c>
      <c r="I76" s="4">
        <v>5</v>
      </c>
      <c r="J76" s="4" t="s">
        <v>101</v>
      </c>
      <c r="K76" s="4">
        <v>191</v>
      </c>
      <c r="L76" s="4">
        <v>2003</v>
      </c>
      <c r="M76" s="4" t="s">
        <v>34</v>
      </c>
      <c r="N76" s="5">
        <v>2.19</v>
      </c>
      <c r="O76" s="3">
        <v>3990</v>
      </c>
      <c r="P76" s="3">
        <f>SUM(O76/N76)</f>
        <v>1821.9178082191781</v>
      </c>
      <c r="AA76" s="4"/>
      <c r="AB76" s="4"/>
      <c r="AC76" s="4"/>
      <c r="AD76" s="4"/>
      <c r="AE76" s="4"/>
      <c r="AF76" s="4"/>
      <c r="AG76" s="4"/>
      <c r="AH76" s="5"/>
      <c r="AI76" s="3"/>
      <c r="AJ76" s="3"/>
    </row>
    <row r="77" spans="7:36" x14ac:dyDescent="0.25">
      <c r="G77" s="4" t="s">
        <v>91</v>
      </c>
      <c r="H77" s="4">
        <v>4</v>
      </c>
      <c r="I77" s="4">
        <v>6</v>
      </c>
      <c r="J77" s="4" t="s">
        <v>101</v>
      </c>
      <c r="K77" s="4">
        <v>191</v>
      </c>
      <c r="L77" s="4">
        <v>1997</v>
      </c>
      <c r="M77" s="4" t="s">
        <v>14</v>
      </c>
      <c r="N77" s="5">
        <v>1.38</v>
      </c>
      <c r="O77" s="3">
        <v>1900</v>
      </c>
      <c r="P77" s="3">
        <v>1377</v>
      </c>
      <c r="AA77" s="4"/>
      <c r="AB77" s="4"/>
      <c r="AC77" s="4"/>
      <c r="AD77" s="4"/>
      <c r="AE77" s="4"/>
      <c r="AF77" s="4"/>
      <c r="AG77" s="4"/>
      <c r="AH77" s="5"/>
      <c r="AI77" s="3"/>
      <c r="AJ77" s="3"/>
    </row>
    <row r="78" spans="7:36" x14ac:dyDescent="0.25">
      <c r="G78" s="4" t="s">
        <v>91</v>
      </c>
      <c r="H78" s="4">
        <v>4</v>
      </c>
      <c r="I78" s="4">
        <v>7</v>
      </c>
      <c r="J78" s="4" t="s">
        <v>43</v>
      </c>
      <c r="K78" s="4">
        <v>115</v>
      </c>
      <c r="L78" s="4">
        <v>2005</v>
      </c>
      <c r="M78" s="4" t="s">
        <v>44</v>
      </c>
      <c r="N78" s="5">
        <v>0.53</v>
      </c>
      <c r="O78" s="3">
        <v>965</v>
      </c>
      <c r="P78" s="3"/>
      <c r="AA78" s="4"/>
      <c r="AB78" s="4"/>
      <c r="AC78" s="4"/>
      <c r="AD78" s="4"/>
      <c r="AE78" s="4"/>
      <c r="AF78" s="4"/>
      <c r="AG78" s="4"/>
      <c r="AH78" s="5"/>
      <c r="AI78" s="3"/>
      <c r="AJ78" s="3"/>
    </row>
    <row r="79" spans="7:36" x14ac:dyDescent="0.25">
      <c r="G79" s="4" t="s">
        <v>91</v>
      </c>
      <c r="H79" s="4">
        <v>4</v>
      </c>
      <c r="I79" s="4">
        <v>8</v>
      </c>
      <c r="J79" s="4" t="s">
        <v>43</v>
      </c>
      <c r="K79" s="4">
        <v>115</v>
      </c>
      <c r="L79" s="4">
        <v>2005</v>
      </c>
      <c r="M79" s="4" t="s">
        <v>44</v>
      </c>
      <c r="N79" s="5">
        <v>1.25</v>
      </c>
      <c r="O79" s="3">
        <v>1990</v>
      </c>
      <c r="P79" s="3"/>
      <c r="AA79" s="4"/>
      <c r="AB79" s="4"/>
      <c r="AC79" s="4"/>
      <c r="AD79" s="4"/>
      <c r="AE79" s="4"/>
      <c r="AF79" s="4"/>
      <c r="AG79" s="4"/>
      <c r="AH79" s="5"/>
      <c r="AI79" s="3"/>
      <c r="AJ79" s="3"/>
    </row>
    <row r="80" spans="7:36" x14ac:dyDescent="0.25">
      <c r="G80" s="4" t="s">
        <v>91</v>
      </c>
      <c r="H80" s="4">
        <v>4</v>
      </c>
      <c r="I80" s="4">
        <v>9</v>
      </c>
      <c r="J80" s="4" t="s">
        <v>43</v>
      </c>
      <c r="K80" s="4">
        <v>777</v>
      </c>
      <c r="L80" s="4">
        <v>2005</v>
      </c>
      <c r="M80" s="4" t="s">
        <v>44</v>
      </c>
      <c r="N80" s="5">
        <v>1.63</v>
      </c>
      <c r="O80" s="3">
        <v>2600</v>
      </c>
      <c r="P80" s="3"/>
      <c r="AA80" s="4"/>
      <c r="AB80" s="4"/>
      <c r="AC80" s="4"/>
      <c r="AD80" s="4"/>
      <c r="AE80" s="4"/>
      <c r="AF80" s="4"/>
      <c r="AG80" s="4"/>
      <c r="AH80" s="5"/>
      <c r="AI80" s="3"/>
      <c r="AJ80" s="3"/>
    </row>
    <row r="81" spans="7:36" x14ac:dyDescent="0.25">
      <c r="G81" s="4" t="s">
        <v>91</v>
      </c>
      <c r="H81" s="4">
        <v>4</v>
      </c>
      <c r="I81" s="4">
        <v>10</v>
      </c>
      <c r="J81" s="4" t="s">
        <v>43</v>
      </c>
      <c r="K81" s="4" t="s">
        <v>46</v>
      </c>
      <c r="L81" s="4">
        <v>1990</v>
      </c>
      <c r="M81" s="4" t="s">
        <v>53</v>
      </c>
      <c r="N81" s="5">
        <v>1.73</v>
      </c>
      <c r="O81" s="3">
        <v>2093</v>
      </c>
      <c r="P81" s="3">
        <f>SUM(O81/N81)</f>
        <v>1209.8265895953757</v>
      </c>
      <c r="AA81" s="4"/>
      <c r="AB81" s="4"/>
      <c r="AC81" s="4"/>
      <c r="AD81" s="4"/>
      <c r="AE81" s="4"/>
      <c r="AF81" s="4"/>
      <c r="AG81" s="4"/>
      <c r="AH81" s="5"/>
      <c r="AI81" s="3"/>
      <c r="AJ81" s="3"/>
    </row>
    <row r="82" spans="7:36" x14ac:dyDescent="0.25">
      <c r="G82" s="4" t="s">
        <v>91</v>
      </c>
      <c r="H82" s="4">
        <v>4</v>
      </c>
      <c r="I82" s="4">
        <v>11</v>
      </c>
      <c r="J82" s="4" t="s">
        <v>43</v>
      </c>
      <c r="K82" s="4">
        <v>115</v>
      </c>
      <c r="L82" s="4">
        <v>2003</v>
      </c>
      <c r="M82" s="4" t="s">
        <v>34</v>
      </c>
      <c r="N82" s="5">
        <v>1.46</v>
      </c>
      <c r="O82" s="3">
        <v>2600</v>
      </c>
      <c r="P82" s="3">
        <v>1780</v>
      </c>
      <c r="AA82" s="4"/>
      <c r="AB82" s="4"/>
      <c r="AC82" s="4"/>
      <c r="AD82" s="4"/>
      <c r="AE82" s="4"/>
      <c r="AF82" s="4"/>
      <c r="AG82" s="4"/>
      <c r="AH82" s="5"/>
      <c r="AI82" s="3"/>
      <c r="AJ82" s="3"/>
    </row>
    <row r="83" spans="7:36" x14ac:dyDescent="0.25">
      <c r="G83" s="4" t="s">
        <v>91</v>
      </c>
      <c r="H83" s="4">
        <v>5</v>
      </c>
      <c r="I83" s="8" t="s">
        <v>154</v>
      </c>
      <c r="J83" s="4" t="s">
        <v>78</v>
      </c>
      <c r="K83" s="4" t="s">
        <v>9</v>
      </c>
      <c r="L83" s="4" t="s">
        <v>21</v>
      </c>
      <c r="M83" s="4" t="s">
        <v>22</v>
      </c>
      <c r="N83" s="5">
        <v>1.78</v>
      </c>
      <c r="O83" s="3">
        <v>2158</v>
      </c>
      <c r="P83" s="3">
        <v>1212</v>
      </c>
      <c r="AA83" s="4"/>
      <c r="AB83" s="4"/>
      <c r="AC83" s="8"/>
      <c r="AD83" s="4"/>
      <c r="AE83" s="4"/>
      <c r="AF83" s="4"/>
      <c r="AG83" s="4"/>
      <c r="AH83" s="5"/>
      <c r="AI83" s="3"/>
      <c r="AJ83" s="3"/>
    </row>
    <row r="84" spans="7:36" x14ac:dyDescent="0.25">
      <c r="G84" s="4" t="s">
        <v>91</v>
      </c>
      <c r="H84" s="4">
        <v>5</v>
      </c>
      <c r="I84" s="4">
        <v>1</v>
      </c>
      <c r="J84" s="4" t="s">
        <v>7</v>
      </c>
      <c r="K84" s="4">
        <v>76</v>
      </c>
      <c r="L84" s="4">
        <v>1997</v>
      </c>
      <c r="M84" s="4" t="s">
        <v>14</v>
      </c>
      <c r="N84" s="5">
        <v>2.1800000000000002</v>
      </c>
      <c r="O84" s="3">
        <v>2444</v>
      </c>
      <c r="P84" s="3">
        <v>1376</v>
      </c>
      <c r="AA84" s="4"/>
      <c r="AB84" s="4"/>
      <c r="AC84" s="4"/>
      <c r="AD84" s="4"/>
      <c r="AE84" s="4"/>
      <c r="AF84" s="4"/>
      <c r="AG84" s="4"/>
      <c r="AH84" s="5"/>
      <c r="AI84" s="3"/>
      <c r="AJ84" s="3"/>
    </row>
    <row r="85" spans="7:36" x14ac:dyDescent="0.25">
      <c r="G85" s="4" t="s">
        <v>91</v>
      </c>
      <c r="H85" s="4">
        <v>5</v>
      </c>
      <c r="I85" s="4">
        <v>2</v>
      </c>
      <c r="J85" s="4" t="s">
        <v>7</v>
      </c>
      <c r="K85" s="4">
        <v>96</v>
      </c>
      <c r="L85" s="4">
        <v>1997</v>
      </c>
      <c r="M85" s="4" t="s">
        <v>14</v>
      </c>
      <c r="N85" s="5">
        <v>2.1800000000000002</v>
      </c>
      <c r="O85" s="3">
        <v>2622</v>
      </c>
      <c r="P85" s="3">
        <v>1376</v>
      </c>
      <c r="AA85" s="4"/>
      <c r="AB85" s="4"/>
      <c r="AC85" s="4"/>
      <c r="AD85" s="4"/>
      <c r="AE85" s="4"/>
      <c r="AF85" s="4"/>
      <c r="AG85" s="4"/>
      <c r="AH85" s="5"/>
      <c r="AI85" s="3"/>
      <c r="AJ85" s="3"/>
    </row>
    <row r="86" spans="7:36" x14ac:dyDescent="0.25">
      <c r="G86" s="4" t="s">
        <v>91</v>
      </c>
      <c r="H86" s="4">
        <v>5</v>
      </c>
      <c r="I86" s="4">
        <v>3</v>
      </c>
      <c r="J86" s="4" t="s">
        <v>7</v>
      </c>
      <c r="K86" s="4">
        <v>277</v>
      </c>
      <c r="L86" s="4">
        <v>1997</v>
      </c>
      <c r="M86" s="4" t="s">
        <v>14</v>
      </c>
      <c r="N86" s="5">
        <v>2.1800000000000002</v>
      </c>
      <c r="O86" s="3">
        <v>1952</v>
      </c>
      <c r="P86" s="3">
        <v>1376</v>
      </c>
      <c r="AA86" s="4"/>
      <c r="AB86" s="4"/>
      <c r="AC86" s="4"/>
      <c r="AD86" s="4"/>
      <c r="AE86" s="4"/>
      <c r="AF86" s="4"/>
      <c r="AG86" s="4"/>
      <c r="AH86" s="5"/>
      <c r="AI86" s="3"/>
      <c r="AJ86" s="3"/>
    </row>
    <row r="87" spans="7:36" x14ac:dyDescent="0.25">
      <c r="G87" s="4" t="s">
        <v>91</v>
      </c>
      <c r="H87" s="4">
        <v>5</v>
      </c>
      <c r="I87" s="4">
        <v>4</v>
      </c>
      <c r="J87" s="4" t="s">
        <v>7</v>
      </c>
      <c r="K87" s="4">
        <v>809</v>
      </c>
      <c r="L87" s="4">
        <v>1997</v>
      </c>
      <c r="M87" s="4" t="s">
        <v>14</v>
      </c>
      <c r="N87" s="5">
        <v>0.73</v>
      </c>
      <c r="O87" s="3">
        <v>1400</v>
      </c>
      <c r="P87" s="3">
        <v>1370</v>
      </c>
      <c r="AA87" s="4"/>
      <c r="AB87" s="4"/>
      <c r="AC87" s="4"/>
      <c r="AD87" s="4"/>
      <c r="AE87" s="4"/>
      <c r="AF87" s="4"/>
      <c r="AG87" s="4"/>
      <c r="AH87" s="5"/>
      <c r="AI87" s="3"/>
      <c r="AJ87" s="3"/>
    </row>
    <row r="88" spans="7:36" x14ac:dyDescent="0.25">
      <c r="G88" s="4" t="s">
        <v>91</v>
      </c>
      <c r="H88" s="4">
        <v>5</v>
      </c>
      <c r="I88" s="4">
        <v>5</v>
      </c>
      <c r="J88" s="4" t="s">
        <v>43</v>
      </c>
      <c r="K88" s="4">
        <v>115</v>
      </c>
      <c r="L88" s="4">
        <v>1997</v>
      </c>
      <c r="M88" s="4" t="s">
        <v>54</v>
      </c>
      <c r="N88" s="5">
        <v>1.43</v>
      </c>
      <c r="O88" s="3">
        <v>2450</v>
      </c>
      <c r="P88" s="3">
        <f>SUM(O88/N88)</f>
        <v>1713.2867132867134</v>
      </c>
      <c r="AA88" s="4"/>
      <c r="AB88" s="4"/>
      <c r="AC88" s="4"/>
      <c r="AD88" s="4"/>
      <c r="AE88" s="4"/>
      <c r="AF88" s="4"/>
      <c r="AG88" s="4"/>
      <c r="AH88" s="5"/>
      <c r="AI88" s="3"/>
      <c r="AJ88" s="3"/>
    </row>
    <row r="89" spans="7:36" x14ac:dyDescent="0.25">
      <c r="G89" s="4" t="s">
        <v>91</v>
      </c>
      <c r="H89" s="4">
        <v>5</v>
      </c>
      <c r="I89" s="4">
        <v>6</v>
      </c>
      <c r="J89" s="4" t="s">
        <v>43</v>
      </c>
      <c r="K89" s="4">
        <v>777</v>
      </c>
      <c r="L89" s="4">
        <v>1997</v>
      </c>
      <c r="M89" s="4" t="s">
        <v>54</v>
      </c>
      <c r="N89" s="5">
        <v>1.84</v>
      </c>
      <c r="O89" s="3">
        <v>3200</v>
      </c>
      <c r="P89" s="3">
        <f>SUM(O89/N89)</f>
        <v>1739.1304347826085</v>
      </c>
      <c r="AA89" s="4"/>
      <c r="AB89" s="4"/>
      <c r="AC89" s="4"/>
      <c r="AD89" s="4"/>
      <c r="AE89" s="4"/>
      <c r="AF89" s="4"/>
      <c r="AG89" s="4"/>
      <c r="AH89" s="5"/>
      <c r="AI89" s="3"/>
      <c r="AJ89" s="3"/>
    </row>
    <row r="90" spans="7:36" x14ac:dyDescent="0.25">
      <c r="G90" s="4" t="s">
        <v>91</v>
      </c>
      <c r="H90" s="4">
        <v>5</v>
      </c>
      <c r="I90" s="4">
        <v>7</v>
      </c>
      <c r="J90" s="4" t="s">
        <v>101</v>
      </c>
      <c r="K90" s="4">
        <v>191</v>
      </c>
      <c r="L90" s="4">
        <v>1997</v>
      </c>
      <c r="M90" s="4" t="s">
        <v>14</v>
      </c>
      <c r="N90" s="5">
        <v>1.25</v>
      </c>
      <c r="O90" s="3">
        <v>1716</v>
      </c>
      <c r="P90" s="3">
        <f>SUM(O90/N90)</f>
        <v>1372.8</v>
      </c>
      <c r="AA90" s="4"/>
      <c r="AB90" s="4"/>
      <c r="AC90" s="4"/>
      <c r="AD90" s="4"/>
      <c r="AE90" s="4"/>
      <c r="AF90" s="4"/>
      <c r="AG90" s="4"/>
      <c r="AH90" s="5"/>
      <c r="AI90" s="3"/>
      <c r="AJ90" s="3"/>
    </row>
    <row r="91" spans="7:36" x14ac:dyDescent="0.25">
      <c r="G91" s="4" t="s">
        <v>91</v>
      </c>
      <c r="H91" s="4">
        <v>6</v>
      </c>
      <c r="I91" s="9" t="s">
        <v>153</v>
      </c>
      <c r="J91" s="4" t="s">
        <v>38</v>
      </c>
      <c r="K91" s="4">
        <v>181</v>
      </c>
      <c r="L91" s="4">
        <v>2003</v>
      </c>
      <c r="M91" s="4" t="s">
        <v>34</v>
      </c>
      <c r="N91" s="5">
        <v>4.4000000000000004</v>
      </c>
      <c r="O91" s="3">
        <v>8263</v>
      </c>
      <c r="P91" s="3">
        <v>1877</v>
      </c>
      <c r="AA91" s="4"/>
      <c r="AB91" s="4"/>
      <c r="AC91" s="9"/>
      <c r="AD91" s="4"/>
      <c r="AE91" s="4"/>
      <c r="AF91" s="4"/>
      <c r="AG91" s="4"/>
      <c r="AH91" s="5"/>
      <c r="AI91" s="3"/>
      <c r="AJ91" s="3"/>
    </row>
    <row r="92" spans="7:36" x14ac:dyDescent="0.25">
      <c r="G92" s="4" t="s">
        <v>132</v>
      </c>
      <c r="H92" s="4" t="s">
        <v>135</v>
      </c>
      <c r="I92" s="4"/>
      <c r="J92" s="4" t="s">
        <v>7</v>
      </c>
      <c r="K92" s="4"/>
      <c r="L92" s="1"/>
      <c r="M92" s="1"/>
      <c r="N92" s="5"/>
      <c r="O92" s="4"/>
      <c r="P92" s="3"/>
      <c r="AA92" s="4"/>
      <c r="AB92" s="4"/>
      <c r="AC92" s="4"/>
      <c r="AD92" s="4"/>
      <c r="AE92" s="4"/>
      <c r="AF92" s="1"/>
      <c r="AG92" s="1"/>
      <c r="AH92" s="5"/>
      <c r="AI92" s="4"/>
      <c r="AJ92" s="3"/>
    </row>
    <row r="93" spans="7:36" x14ac:dyDescent="0.25">
      <c r="G93" s="4" t="s">
        <v>132</v>
      </c>
      <c r="H93" s="4" t="s">
        <v>135</v>
      </c>
      <c r="I93" s="4"/>
      <c r="J93" s="4" t="s">
        <v>78</v>
      </c>
      <c r="K93" s="4"/>
      <c r="L93" s="4"/>
      <c r="M93" s="4"/>
      <c r="N93" s="5"/>
      <c r="O93" s="4"/>
      <c r="P93" s="3"/>
      <c r="AA93" s="4"/>
      <c r="AB93" s="4"/>
      <c r="AC93" s="4"/>
      <c r="AD93" s="4"/>
      <c r="AE93" s="4"/>
      <c r="AF93" s="4"/>
      <c r="AG93" s="4"/>
      <c r="AH93" s="5"/>
      <c r="AI93" s="4"/>
      <c r="AJ93" s="3"/>
    </row>
    <row r="94" spans="7:36" x14ac:dyDescent="0.25">
      <c r="G94" s="4" t="s">
        <v>118</v>
      </c>
      <c r="H94" s="4" t="s">
        <v>134</v>
      </c>
      <c r="I94" s="4"/>
      <c r="J94" s="4" t="s">
        <v>78</v>
      </c>
      <c r="K94" s="4"/>
      <c r="L94" s="4"/>
      <c r="M94" s="4"/>
      <c r="N94" s="5">
        <v>2</v>
      </c>
      <c r="O94" s="4"/>
      <c r="P94" s="3"/>
      <c r="AA94" s="4"/>
      <c r="AB94" s="4"/>
      <c r="AC94" s="4"/>
      <c r="AD94" s="4"/>
      <c r="AE94" s="4"/>
      <c r="AF94" s="4"/>
      <c r="AG94" s="4"/>
      <c r="AH94" s="5"/>
      <c r="AI94" s="4"/>
      <c r="AJ94" s="3"/>
    </row>
    <row r="95" spans="7:36" x14ac:dyDescent="0.25">
      <c r="G95" s="4" t="s">
        <v>130</v>
      </c>
      <c r="H95" s="4" t="s">
        <v>135</v>
      </c>
      <c r="I95" s="4"/>
      <c r="J95" s="4" t="s">
        <v>78</v>
      </c>
      <c r="K95" s="4"/>
      <c r="L95" s="4"/>
      <c r="M95" s="4"/>
      <c r="N95" s="5"/>
      <c r="O95" s="4"/>
      <c r="P95" s="3"/>
      <c r="AA95" s="4"/>
      <c r="AB95" s="4"/>
      <c r="AC95" s="4"/>
      <c r="AD95" s="4"/>
      <c r="AE95" s="4"/>
      <c r="AF95" s="4"/>
      <c r="AG95" s="4"/>
      <c r="AH95" s="5"/>
      <c r="AI95" s="4"/>
      <c r="AJ95" s="3"/>
    </row>
    <row r="96" spans="7:36" x14ac:dyDescent="0.25">
      <c r="G96" s="4" t="s">
        <v>150</v>
      </c>
      <c r="H96" s="27">
        <v>1</v>
      </c>
      <c r="I96" s="27">
        <v>1</v>
      </c>
      <c r="J96" s="4" t="s">
        <v>16</v>
      </c>
      <c r="K96" s="4" t="s">
        <v>9</v>
      </c>
      <c r="L96" s="4">
        <v>2012</v>
      </c>
      <c r="M96" s="4" t="s">
        <v>41</v>
      </c>
      <c r="N96" s="5">
        <v>4.63</v>
      </c>
      <c r="O96" s="4">
        <v>4609</v>
      </c>
      <c r="P96" s="3">
        <v>1238</v>
      </c>
      <c r="AA96" s="4"/>
      <c r="AB96" s="27"/>
      <c r="AC96" s="27"/>
      <c r="AD96" s="4"/>
      <c r="AE96" s="4"/>
      <c r="AF96" s="4"/>
      <c r="AG96" s="4"/>
      <c r="AH96" s="5"/>
      <c r="AI96" s="4"/>
      <c r="AJ96" s="3"/>
    </row>
    <row r="97" spans="7:36" x14ac:dyDescent="0.25">
      <c r="G97" s="4" t="s">
        <v>150</v>
      </c>
      <c r="H97" s="27">
        <v>1</v>
      </c>
      <c r="I97" s="27">
        <v>2</v>
      </c>
      <c r="J97" s="4" t="s">
        <v>7</v>
      </c>
      <c r="K97" s="27" t="s">
        <v>151</v>
      </c>
      <c r="L97" s="27">
        <v>2012</v>
      </c>
      <c r="M97" s="27" t="s">
        <v>152</v>
      </c>
      <c r="N97" s="27">
        <v>0.85</v>
      </c>
      <c r="O97" s="27">
        <v>1166</v>
      </c>
      <c r="P97" s="27">
        <v>1480</v>
      </c>
      <c r="AA97" s="4"/>
      <c r="AB97" s="27"/>
      <c r="AC97" s="27"/>
      <c r="AD97" s="4"/>
      <c r="AE97" s="27"/>
      <c r="AF97" s="27"/>
      <c r="AG97" s="27"/>
      <c r="AH97" s="27"/>
      <c r="AI97" s="27"/>
      <c r="AJ97" s="27"/>
    </row>
    <row r="98" spans="7:36" x14ac:dyDescent="0.25">
      <c r="G98" s="4" t="s">
        <v>150</v>
      </c>
      <c r="H98" s="27">
        <v>1</v>
      </c>
      <c r="I98" s="27">
        <v>3</v>
      </c>
      <c r="J98" s="4" t="s">
        <v>16</v>
      </c>
      <c r="K98" s="27" t="s">
        <v>9</v>
      </c>
      <c r="L98" s="27">
        <v>2014</v>
      </c>
      <c r="M98" s="4" t="s">
        <v>41</v>
      </c>
      <c r="N98" s="5">
        <v>3.22</v>
      </c>
      <c r="AA98" s="4"/>
      <c r="AB98" s="27"/>
      <c r="AC98" s="27"/>
      <c r="AD98" s="4"/>
      <c r="AE98" s="27"/>
      <c r="AF98" s="27"/>
      <c r="AG98" s="4"/>
      <c r="AH98" s="5"/>
    </row>
    <row r="99" spans="7:36" x14ac:dyDescent="0.25">
      <c r="G99" s="4" t="s">
        <v>160</v>
      </c>
      <c r="H99" s="4" t="s">
        <v>134</v>
      </c>
      <c r="J99" s="4" t="s">
        <v>7</v>
      </c>
      <c r="N99" s="5">
        <v>19.7</v>
      </c>
      <c r="AA99" s="4"/>
      <c r="AB99" s="4"/>
      <c r="AD99" s="4"/>
      <c r="AH99" s="5"/>
    </row>
    <row r="100" spans="7:36" x14ac:dyDescent="0.25">
      <c r="G100" s="4" t="s">
        <v>160</v>
      </c>
      <c r="H100" s="4" t="s">
        <v>134</v>
      </c>
      <c r="J100" s="4" t="s">
        <v>78</v>
      </c>
      <c r="N100" s="5">
        <v>24.7</v>
      </c>
      <c r="AA100" s="4"/>
      <c r="AB100" s="4"/>
      <c r="AD100" s="4"/>
      <c r="AH100" s="5"/>
    </row>
    <row r="101" spans="7:36" x14ac:dyDescent="0.25">
      <c r="G101" s="4" t="s">
        <v>162</v>
      </c>
      <c r="H101" s="4" t="s">
        <v>134</v>
      </c>
      <c r="J101" s="4" t="s">
        <v>73</v>
      </c>
      <c r="N101" s="27">
        <v>1.75</v>
      </c>
      <c r="AA101" s="4"/>
      <c r="AB101" s="4"/>
      <c r="AD101" s="4"/>
      <c r="AH101" s="27"/>
    </row>
    <row r="102" spans="7:36" x14ac:dyDescent="0.25">
      <c r="G102" s="4" t="s">
        <v>162</v>
      </c>
      <c r="H102" s="4" t="s">
        <v>134</v>
      </c>
      <c r="J102" s="4" t="s">
        <v>78</v>
      </c>
      <c r="N102" s="27">
        <v>4.25</v>
      </c>
      <c r="AA102" s="4"/>
      <c r="AB102" s="4"/>
      <c r="AD102" s="4"/>
      <c r="AH102" s="27"/>
    </row>
    <row r="103" spans="7:36" x14ac:dyDescent="0.25">
      <c r="G103" s="4" t="s">
        <v>163</v>
      </c>
      <c r="H103" s="4" t="s">
        <v>134</v>
      </c>
      <c r="J103" s="4" t="s">
        <v>73</v>
      </c>
      <c r="N103" s="27">
        <v>5</v>
      </c>
      <c r="AA103" s="4"/>
      <c r="AB103" s="4"/>
      <c r="AD103" s="4"/>
      <c r="AH103" s="27"/>
    </row>
    <row r="104" spans="7:36" x14ac:dyDescent="0.25">
      <c r="G104" s="4" t="s">
        <v>165</v>
      </c>
      <c r="H104" s="4" t="s">
        <v>134</v>
      </c>
      <c r="J104" s="4" t="s">
        <v>7</v>
      </c>
      <c r="N104" s="27">
        <v>2</v>
      </c>
      <c r="AA104" s="4"/>
      <c r="AB104" s="4"/>
      <c r="AD104" s="4"/>
      <c r="AH104" s="27"/>
    </row>
    <row r="105" spans="7:36" x14ac:dyDescent="0.25">
      <c r="G105" s="4" t="s">
        <v>165</v>
      </c>
      <c r="H105" s="4" t="s">
        <v>134</v>
      </c>
      <c r="J105" s="4" t="s">
        <v>168</v>
      </c>
      <c r="N105" s="27">
        <v>1.5</v>
      </c>
      <c r="AA105" s="4"/>
      <c r="AB105" s="4"/>
      <c r="AD105" s="4"/>
      <c r="AH105" s="27"/>
    </row>
    <row r="106" spans="7:36" x14ac:dyDescent="0.25">
      <c r="G106" s="4" t="s">
        <v>165</v>
      </c>
      <c r="H106" s="4" t="s">
        <v>134</v>
      </c>
      <c r="J106" s="4" t="s">
        <v>78</v>
      </c>
      <c r="N106" s="27">
        <v>3</v>
      </c>
      <c r="AA106" s="4"/>
      <c r="AB106" s="4"/>
      <c r="AD106" s="4"/>
      <c r="AH106" s="27"/>
    </row>
    <row r="107" spans="7:36" x14ac:dyDescent="0.25">
      <c r="G107" s="4" t="s">
        <v>165</v>
      </c>
      <c r="H107" s="4" t="s">
        <v>134</v>
      </c>
      <c r="J107" s="4" t="s">
        <v>166</v>
      </c>
      <c r="N107" s="27">
        <v>1</v>
      </c>
      <c r="AA107" s="4"/>
      <c r="AB107" s="4"/>
      <c r="AD107" s="4"/>
      <c r="AH107" s="27"/>
    </row>
    <row r="108" spans="7:36" x14ac:dyDescent="0.25">
      <c r="G108" s="4" t="s">
        <v>165</v>
      </c>
      <c r="H108" s="4" t="s">
        <v>134</v>
      </c>
      <c r="J108" s="4" t="s">
        <v>28</v>
      </c>
      <c r="N108" s="27">
        <v>2.5</v>
      </c>
      <c r="AA108" s="4"/>
      <c r="AB108" s="4"/>
      <c r="AD108" s="4"/>
      <c r="AH108" s="27"/>
    </row>
    <row r="109" spans="7:36" x14ac:dyDescent="0.25">
      <c r="G109" s="4" t="s">
        <v>165</v>
      </c>
      <c r="H109" s="4" t="s">
        <v>134</v>
      </c>
      <c r="J109" s="4" t="s">
        <v>70</v>
      </c>
      <c r="N109" s="27">
        <v>6.5</v>
      </c>
      <c r="AA109" s="4"/>
      <c r="AB109" s="4"/>
      <c r="AD109" s="4"/>
      <c r="AH109" s="27"/>
    </row>
    <row r="110" spans="7:36" x14ac:dyDescent="0.25">
      <c r="G110" s="4" t="s">
        <v>167</v>
      </c>
      <c r="H110" s="4" t="s">
        <v>135</v>
      </c>
      <c r="J110" s="4" t="s">
        <v>38</v>
      </c>
      <c r="N110" s="27"/>
      <c r="AA110" s="4"/>
      <c r="AB110" s="4"/>
      <c r="AD110" s="4"/>
      <c r="AH110" s="27"/>
    </row>
    <row r="111" spans="7:36" x14ac:dyDescent="0.25">
      <c r="G111" s="4" t="s">
        <v>167</v>
      </c>
      <c r="H111" s="4" t="s">
        <v>135</v>
      </c>
      <c r="J111" s="4" t="s">
        <v>101</v>
      </c>
      <c r="N111" s="27"/>
      <c r="AA111" s="4"/>
      <c r="AB111" s="4"/>
      <c r="AD111" s="4"/>
      <c r="AH111" s="27"/>
    </row>
    <row r="112" spans="7:36" x14ac:dyDescent="0.25">
      <c r="G112" s="4" t="s">
        <v>167</v>
      </c>
      <c r="H112" s="4" t="s">
        <v>135</v>
      </c>
      <c r="J112" s="4" t="s">
        <v>7</v>
      </c>
      <c r="N112" s="27"/>
      <c r="AA112" s="4"/>
      <c r="AB112" s="4"/>
      <c r="AD112" s="4"/>
      <c r="AH112" s="27"/>
    </row>
    <row r="113" spans="14:34" x14ac:dyDescent="0.25">
      <c r="N113" s="27"/>
      <c r="AH113" s="27"/>
    </row>
  </sheetData>
  <sortState ref="G2:P96">
    <sortCondition ref="G2:G96"/>
    <sortCondition ref="H2:H96"/>
    <sortCondition ref="I2:I96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Harvest Data</vt:lpstr>
      <vt:lpstr>Pivot Table</vt:lpstr>
      <vt:lpstr>LookupLists</vt:lpstr>
      <vt:lpstr>CritBlock</vt:lpstr>
      <vt:lpstr>LookupLists!Criteria</vt:lpstr>
      <vt:lpstr>CritField</vt:lpstr>
      <vt:lpstr>CritLocation</vt:lpstr>
      <vt:lpstr>CritVariety</vt:lpstr>
      <vt:lpstr>CritVineyard</vt:lpstr>
      <vt:lpstr>ExtAcres</vt:lpstr>
      <vt:lpstr>ExtClone</vt:lpstr>
      <vt:lpstr>ExtPlanted</vt:lpstr>
      <vt:lpstr>Extract</vt:lpstr>
      <vt:lpstr>ExtSpacing</vt:lpstr>
      <vt:lpstr>ExtVines</vt:lpstr>
      <vt:lpstr>ExtVinesAcre</vt:lpstr>
      <vt:lpstr>VarietySelList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Kailee Frasch</cp:lastModifiedBy>
  <dcterms:created xsi:type="dcterms:W3CDTF">2013-02-08T18:24:08Z</dcterms:created>
  <dcterms:modified xsi:type="dcterms:W3CDTF">2019-05-21T18:40:08Z</dcterms:modified>
</cp:coreProperties>
</file>